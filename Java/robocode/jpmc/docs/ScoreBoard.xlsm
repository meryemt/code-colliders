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obocode\jpmc\docs\"/>
    </mc:Choice>
  </mc:AlternateContent>
  <bookViews>
    <workbookView xWindow="480" yWindow="150" windowWidth="14880" windowHeight="8745"/>
  </bookViews>
  <sheets>
    <sheet name="Scoreboard" sheetId="1" r:id="rId1"/>
    <sheet name="Battle 1" sheetId="4" r:id="rId2"/>
    <sheet name="Battle 2" sheetId="11" r:id="rId3"/>
    <sheet name="Battle 3" sheetId="12" r:id="rId4"/>
    <sheet name="Battle 4" sheetId="13" r:id="rId5"/>
    <sheet name="Parameters" sheetId="2" r:id="rId6"/>
  </sheets>
  <definedNames>
    <definedName name="battle1">Table4[#All]</definedName>
    <definedName name="battle2">Table416[#All]</definedName>
    <definedName name="battle3">Table41618[#All]</definedName>
    <definedName name="battle4">Table4161820[#All]</definedName>
    <definedName name="BattlePosition">Table2[#All]</definedName>
    <definedName name="Prizes">Table1[#All]</definedName>
    <definedName name="scoreBoard">Table3[#All]</definedName>
  </definedNames>
  <calcPr calcId="162913"/>
</workbook>
</file>

<file path=xl/calcChain.xml><?xml version="1.0" encoding="utf-8"?>
<calcChain xmlns="http://schemas.openxmlformats.org/spreadsheetml/2006/main">
  <c r="A3" i="11" l="1"/>
  <c r="A4" i="11"/>
  <c r="A5" i="11"/>
  <c r="A6" i="11"/>
  <c r="A7" i="11"/>
  <c r="A8" i="11"/>
  <c r="A9" i="11"/>
  <c r="A10" i="11"/>
  <c r="A11" i="11"/>
  <c r="A12" i="11"/>
  <c r="A3" i="4"/>
  <c r="A4" i="4"/>
  <c r="A5" i="4"/>
  <c r="A6" i="4"/>
  <c r="A7" i="4"/>
  <c r="A8" i="4"/>
  <c r="A9" i="4"/>
  <c r="A10" i="4"/>
  <c r="A11" i="4"/>
  <c r="A12" i="4"/>
  <c r="A18" i="13" l="1"/>
  <c r="A19" i="13"/>
  <c r="B18" i="13"/>
  <c r="C18" i="13" s="1"/>
  <c r="B19" i="13"/>
  <c r="C19" i="13" s="1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3" i="12"/>
  <c r="A4" i="12"/>
  <c r="A5" i="12"/>
  <c r="A6" i="12"/>
  <c r="A7" i="12"/>
  <c r="A8" i="12"/>
  <c r="A9" i="12"/>
  <c r="A10" i="12"/>
  <c r="A11" i="12"/>
  <c r="A12" i="12"/>
  <c r="B17" i="13" l="1"/>
  <c r="C17" i="13" s="1"/>
  <c r="B16" i="13"/>
  <c r="C16" i="13" s="1"/>
  <c r="B15" i="13"/>
  <c r="C15" i="13" s="1"/>
  <c r="B14" i="13"/>
  <c r="C14" i="13" s="1"/>
  <c r="B13" i="13"/>
  <c r="C13" i="13" s="1"/>
  <c r="B12" i="13"/>
  <c r="C12" i="13" s="1"/>
  <c r="B11" i="13"/>
  <c r="C11" i="13" s="1"/>
  <c r="B10" i="13"/>
  <c r="C10" i="13" s="1"/>
  <c r="B9" i="13"/>
  <c r="C9" i="13" s="1"/>
  <c r="B8" i="13"/>
  <c r="C8" i="13" s="1"/>
  <c r="B7" i="13"/>
  <c r="C7" i="13" s="1"/>
  <c r="B6" i="13"/>
  <c r="C6" i="13" s="1"/>
  <c r="B5" i="13"/>
  <c r="C5" i="13" s="1"/>
  <c r="B4" i="13"/>
  <c r="C4" i="13" s="1"/>
  <c r="B3" i="13"/>
  <c r="C3" i="13" s="1"/>
  <c r="B12" i="12"/>
  <c r="C12" i="12" s="1"/>
  <c r="B11" i="12"/>
  <c r="C11" i="12" s="1"/>
  <c r="B10" i="12"/>
  <c r="C10" i="12" s="1"/>
  <c r="B9" i="12"/>
  <c r="C9" i="12" s="1"/>
  <c r="B8" i="12"/>
  <c r="C8" i="12" s="1"/>
  <c r="B7" i="12"/>
  <c r="C7" i="12" s="1"/>
  <c r="B6" i="12"/>
  <c r="C6" i="12" s="1"/>
  <c r="B5" i="12"/>
  <c r="C5" i="12" s="1"/>
  <c r="B4" i="12"/>
  <c r="C4" i="12" s="1"/>
  <c r="B3" i="12"/>
  <c r="C3" i="12" s="1"/>
  <c r="B10" i="11"/>
  <c r="C10" i="11" s="1"/>
  <c r="B12" i="11"/>
  <c r="C12" i="11" s="1"/>
  <c r="B11" i="11"/>
  <c r="C11" i="11" s="1"/>
  <c r="B9" i="11"/>
  <c r="C9" i="11" s="1"/>
  <c r="B6" i="11"/>
  <c r="C6" i="11" s="1"/>
  <c r="B5" i="11"/>
  <c r="C5" i="11" s="1"/>
  <c r="B7" i="11"/>
  <c r="C7" i="11" s="1"/>
  <c r="B8" i="11"/>
  <c r="C8" i="11" s="1"/>
  <c r="B4" i="11"/>
  <c r="C4" i="11" s="1"/>
  <c r="B3" i="11"/>
  <c r="C3" i="11" s="1"/>
  <c r="B3" i="4"/>
  <c r="C3" i="4" s="1"/>
  <c r="B4" i="4"/>
  <c r="C4" i="4" s="1"/>
  <c r="B5" i="4"/>
  <c r="C5" i="4" s="1"/>
  <c r="B6" i="4"/>
  <c r="C6" i="4" s="1"/>
  <c r="B7" i="4"/>
  <c r="C7" i="4" s="1"/>
  <c r="B8" i="4"/>
  <c r="C8" i="4" s="1"/>
  <c r="B9" i="4"/>
  <c r="C9" i="4" s="1"/>
  <c r="B10" i="4"/>
  <c r="C10" i="4" s="1"/>
  <c r="B11" i="4"/>
  <c r="C11" i="4" s="1"/>
  <c r="B12" i="4"/>
  <c r="C12" i="4" s="1"/>
  <c r="AA13" i="1" l="1"/>
  <c r="AA8" i="1"/>
  <c r="AD7" i="1"/>
  <c r="AC7" i="1"/>
  <c r="AC11" i="1"/>
  <c r="AC8" i="1"/>
  <c r="AA11" i="1"/>
  <c r="AA6" i="1"/>
  <c r="AC10" i="1"/>
  <c r="AC9" i="1"/>
  <c r="AC6" i="1"/>
  <c r="AC13" i="1"/>
  <c r="AC5" i="1"/>
  <c r="AC12" i="1"/>
  <c r="AC14" i="1"/>
  <c r="AD11" i="1"/>
  <c r="AD9" i="1"/>
  <c r="AD6" i="1"/>
  <c r="AD8" i="1"/>
  <c r="AD13" i="1"/>
  <c r="AD5" i="1"/>
  <c r="AD12" i="1"/>
  <c r="AD10" i="1"/>
  <c r="AD14" i="1"/>
  <c r="AA12" i="1"/>
  <c r="AA7" i="1"/>
  <c r="AA10" i="1"/>
  <c r="AA14" i="1"/>
  <c r="AA9" i="1"/>
  <c r="AA5" i="1"/>
  <c r="Z14" i="1"/>
  <c r="Z11" i="1"/>
  <c r="Z7" i="1"/>
  <c r="Z10" i="1"/>
  <c r="Z5" i="1"/>
  <c r="Z9" i="1"/>
  <c r="Z8" i="1"/>
  <c r="Z6" i="1"/>
  <c r="Z12" i="1"/>
  <c r="Z13" i="1"/>
  <c r="W1" i="1"/>
  <c r="X1" i="1"/>
  <c r="Y1" i="1"/>
  <c r="Y3" i="1" l="1"/>
  <c r="W3" i="1"/>
  <c r="X3" i="1"/>
  <c r="T1" i="1"/>
  <c r="U1" i="1"/>
  <c r="V1" i="1"/>
  <c r="T3" i="1"/>
  <c r="U3" i="1"/>
  <c r="V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D3" i="1"/>
  <c r="E1" i="1"/>
  <c r="F1" i="1"/>
  <c r="G1" i="1"/>
  <c r="H1" i="1"/>
  <c r="I1" i="1"/>
  <c r="J1" i="1"/>
  <c r="K1" i="1"/>
  <c r="L1" i="1"/>
  <c r="M1" i="1"/>
  <c r="N1" i="1"/>
  <c r="O1" i="1"/>
  <c r="P1" i="1"/>
  <c r="Q1" i="1"/>
  <c r="R1" i="1"/>
  <c r="S1" i="1"/>
  <c r="D1" i="1"/>
  <c r="AH14" i="1" l="1"/>
  <c r="AH12" i="1"/>
  <c r="AH13" i="1"/>
  <c r="AH6" i="1"/>
  <c r="AH10" i="1"/>
  <c r="AH8" i="1"/>
  <c r="AH5" i="1"/>
  <c r="AH11" i="1"/>
  <c r="AH7" i="1"/>
  <c r="AH9" i="1"/>
  <c r="AE5" i="1" l="1"/>
  <c r="AE11" i="1"/>
  <c r="AE9" i="1"/>
  <c r="AE13" i="1"/>
  <c r="AE10" i="1"/>
  <c r="AE12" i="1"/>
  <c r="AE7" i="1"/>
  <c r="AE8" i="1"/>
  <c r="AE6" i="1"/>
  <c r="AE14" i="1"/>
</calcChain>
</file>

<file path=xl/sharedStrings.xml><?xml version="1.0" encoding="utf-8"?>
<sst xmlns="http://schemas.openxmlformats.org/spreadsheetml/2006/main" count="385" uniqueCount="214">
  <si>
    <t>#</t>
  </si>
  <si>
    <t>Code</t>
  </si>
  <si>
    <t>Description</t>
  </si>
  <si>
    <t>Points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</si>
  <si>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</si>
  <si>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</si>
  <si>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</si>
  <si>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</si>
  <si>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</si>
  <si>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</si>
  <si>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</si>
  <si>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</si>
  <si>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</si>
  <si>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</si>
  <si>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</si>
  <si>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</si>
  <si>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</si>
  <si>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</si>
  <si>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Battle 1</t>
  </si>
  <si>
    <t>Battle 2</t>
  </si>
  <si>
    <t>Battle 3</t>
  </si>
  <si>
    <t>Battle 4</t>
  </si>
  <si>
    <t>Has Prize?</t>
  </si>
  <si>
    <t>Y</t>
  </si>
  <si>
    <t>Ctrl + Shift + : = {time}</t>
  </si>
  <si>
    <t>Take Screenshot @ Half Time</t>
  </si>
  <si>
    <t>O</t>
  </si>
  <si>
    <t>Forming an alliance with another team</t>
  </si>
  <si>
    <t>Making their robot do a victory dance</t>
  </si>
  <si>
    <t>Talking to another team</t>
  </si>
  <si>
    <t>P</t>
  </si>
  <si>
    <t>Kings Aides</t>
  </si>
  <si>
    <t>Name</t>
  </si>
  <si>
    <t>Trending</t>
  </si>
  <si>
    <t>DEADLINES LOOMING</t>
  </si>
  <si>
    <t>Rank</t>
  </si>
  <si>
    <t>Value</t>
  </si>
  <si>
    <t>Parameter Description</t>
  </si>
  <si>
    <t>Warning Time (Highlight Timer in Red)</t>
  </si>
  <si>
    <t>Warning Time (Highlight Timer in Amber)</t>
  </si>
  <si>
    <t>Multiples</t>
  </si>
  <si>
    <t>Rotating through positions, everyone takes a shot at coding.</t>
  </si>
  <si>
    <t>Using GIT to version their robot</t>
  </si>
  <si>
    <t>Facing all sample bots off against each other (repeatedly) to find out which is the best to build with</t>
  </si>
  <si>
    <t>Asking about things the king likes</t>
  </si>
  <si>
    <t>Making the colors on the robot change</t>
  </si>
  <si>
    <t>Successfully run their custom robot</t>
  </si>
  <si>
    <t>Devising a testing strategy</t>
  </si>
  <si>
    <t>Building a tactical (multi-strategy) robot</t>
  </si>
  <si>
    <t>Submit their team name</t>
  </si>
  <si>
    <t>Not Testing, pushing a broken build</t>
  </si>
  <si>
    <t>TESTING</t>
  </si>
  <si>
    <t>PLANNING</t>
  </si>
  <si>
    <t>BUILD</t>
  </si>
  <si>
    <t>Asking another teams mentor for advice</t>
  </si>
  <si>
    <t>Discussing the 4 retrospective questions in advance.</t>
  </si>
  <si>
    <t>Not following rules/standards or cheating (using WiFi hotspot for robot tactics)</t>
  </si>
  <si>
    <t>Q</t>
  </si>
  <si>
    <t>R</t>
  </si>
  <si>
    <t>S</t>
  </si>
  <si>
    <t>T</t>
  </si>
  <si>
    <t>U</t>
  </si>
  <si>
    <t>V</t>
  </si>
  <si>
    <t>Category</t>
  </si>
  <si>
    <t>Add Trending for positions gained/lost from halfway rank</t>
  </si>
  <si>
    <t>Examples</t>
  </si>
  <si>
    <t>who suggests brokering peace? ramming instead of shooting? Forming alliance &amp; then removing trigger?</t>
  </si>
  <si>
    <t>looking for additional points from this list e.g. colour, victory dance</t>
  </si>
  <si>
    <t>Identifies best basic robot to start with</t>
  </si>
  <si>
    <t>Testing bots against other teams</t>
  </si>
  <si>
    <t>using/tracking the scores to work out how they are improving the robots, usinsg the same standard/consistant approach, using GIT comments to store scores?</t>
  </si>
  <si>
    <t>Not following rules/standards or cheating</t>
  </si>
  <si>
    <t>Talking to another team (sharing code, best practice, strategy, sharing tips for points)</t>
  </si>
  <si>
    <t xml:space="preserve">Asking questions about the rules </t>
  </si>
  <si>
    <t>clarifying, avoiding/bending/challenging</t>
  </si>
  <si>
    <t>Thinking differently or deviously</t>
  </si>
  <si>
    <t>Everyone codes</t>
  </si>
  <si>
    <t>Formulating a plan (not diving into code immediately), time boxing, using features in the room e.g. walls, post it notes etc.</t>
  </si>
  <si>
    <t>Taking stock (being Agile-y)</t>
  </si>
  <si>
    <t>running an adhoc battle outside of the defined battle times</t>
  </si>
  <si>
    <t>Testing different battlefield sizes/shapes</t>
  </si>
  <si>
    <t>Making the colors on the robot change under certain circumstances, e.g. hit by bullet, switching strategy etc</t>
  </si>
  <si>
    <t>Pulling another teams mentor over to ask them for advice, thoughts.</t>
  </si>
  <si>
    <t>Devising a strategy e.g. don't fire at one another until 'n' robots left</t>
  </si>
  <si>
    <t>Planning the retrospective questions</t>
  </si>
  <si>
    <t>ADDITIONAL POINTS &amp; PRIZES</t>
  </si>
  <si>
    <t>?</t>
  </si>
  <si>
    <t>Mentors choice</t>
  </si>
  <si>
    <t>If you see something that you think we haven't covered and should be rewarded/penalised e.g. suggesting/organising group battles outside of the main battles; defining roles within the team e.g. leader, timekeeper etc.</t>
  </si>
  <si>
    <t>position</t>
  </si>
  <si>
    <t>full robot name</t>
  </si>
  <si>
    <t>total score</t>
  </si>
  <si>
    <t>survival</t>
  </si>
  <si>
    <t>survival bonus</t>
  </si>
  <si>
    <t>bullet damage</t>
  </si>
  <si>
    <t>bullet bonus</t>
  </si>
  <si>
    <t>ram damage * 2</t>
  </si>
  <si>
    <t>ram bonus</t>
  </si>
  <si>
    <t>1sts</t>
  </si>
  <si>
    <t>2nds</t>
  </si>
  <si>
    <t>3rds</t>
  </si>
  <si>
    <t>robot name</t>
  </si>
  <si>
    <t>points</t>
  </si>
  <si>
    <t>Position</t>
  </si>
  <si>
    <t>fixedposition</t>
  </si>
  <si>
    <t>BATTLE 2 ROBOCODE RESULTS</t>
  </si>
  <si>
    <t>BATTLE 1 ROBOCODE RESULTS</t>
  </si>
  <si>
    <t>BATTLE 3 ROBOCODE RESULTS</t>
  </si>
  <si>
    <t>BATTLE 4 ROBOCODE RESULTS</t>
  </si>
  <si>
    <t>Previous Rank</t>
  </si>
  <si>
    <t>Trend</t>
  </si>
  <si>
    <t>TeamWally</t>
  </si>
  <si>
    <t>HatefulEight</t>
  </si>
  <si>
    <t>Tankops</t>
  </si>
  <si>
    <t>EclipseTheRest</t>
  </si>
  <si>
    <t>TheDestroyers</t>
  </si>
  <si>
    <t>FastFive</t>
  </si>
  <si>
    <t>Fiasco</t>
  </si>
  <si>
    <t>NeinNeinNein</t>
  </si>
  <si>
    <t>Divergent</t>
  </si>
  <si>
    <t>1st</t>
  </si>
  <si>
    <t>com.spring.week.robocode.glasgow.team.ten.TheDestroyers*</t>
  </si>
  <si>
    <t>2nd</t>
  </si>
  <si>
    <t>com.spring.week.robocode.glasgow.team.eight.HatefulEight*</t>
  </si>
  <si>
    <t>3rd</t>
  </si>
  <si>
    <t>com.spring.week.robocode.glasgow.team.nine.NeinNeinNein*</t>
  </si>
  <si>
    <t>4th</t>
  </si>
  <si>
    <t>com.spring.week.robocode.glasgow.tankops.Tankops*</t>
  </si>
  <si>
    <t>5th</t>
  </si>
  <si>
    <t>com.spring.week.robocode.glasgow.team.two.Fiasco*</t>
  </si>
  <si>
    <t>6th</t>
  </si>
  <si>
    <t>com.spring.week.robocode.glasgow.team.four.EclipseTheRest*</t>
  </si>
  <si>
    <t>7th</t>
  </si>
  <si>
    <t>com.spring.week.robocode.glasgow.FastFive.FastFive*</t>
  </si>
  <si>
    <t>8th</t>
  </si>
  <si>
    <t>com.spring.week.robocode.glasgow.team.wally.TeamWally*</t>
  </si>
  <si>
    <t>9th</t>
  </si>
  <si>
    <t>com.spring.week.robocode.glasgow.team.six.Divergent*</t>
  </si>
  <si>
    <t>10th</t>
  </si>
  <si>
    <t>7093 (19%)</t>
  </si>
  <si>
    <t>5662 (16%)</t>
  </si>
  <si>
    <t>3659 (10%)</t>
  </si>
  <si>
    <t>3254 (9%)</t>
  </si>
  <si>
    <t>3235 (9%)</t>
  </si>
  <si>
    <t>3073 (8%)</t>
  </si>
  <si>
    <t>3004 (8%)</t>
  </si>
  <si>
    <t>2549 (7%)</t>
  </si>
  <si>
    <t>2468 (7%)</t>
  </si>
  <si>
    <t>2427 (7%)</t>
  </si>
  <si>
    <t>6720 (18%)</t>
  </si>
  <si>
    <t>5133 (14%)</t>
  </si>
  <si>
    <t>4654 (13%)</t>
  </si>
  <si>
    <t>3847 (11%)</t>
  </si>
  <si>
    <t>3417 (9%)</t>
  </si>
  <si>
    <t>3135 (9%)</t>
  </si>
  <si>
    <t>2749 (8%)</t>
  </si>
  <si>
    <t>2641 (7%)</t>
  </si>
  <si>
    <t>2162 (6%)</t>
  </si>
  <si>
    <t>2140 (6%)</t>
  </si>
  <si>
    <t>Panzr</t>
  </si>
  <si>
    <t>4994 (14%)</t>
  </si>
  <si>
    <t>4504 (13%)</t>
  </si>
  <si>
    <t>4127 (12%)</t>
  </si>
  <si>
    <t>com.spring.week.robocode.glasgow.team.seven.Panzr*</t>
  </si>
  <si>
    <t>3826 (11%)</t>
  </si>
  <si>
    <t>3688 (10%)</t>
  </si>
  <si>
    <t>3576 (10%)</t>
  </si>
  <si>
    <t>3520 (10%)</t>
  </si>
  <si>
    <t>3343 (9%)</t>
  </si>
  <si>
    <t>2396 (7%)</t>
  </si>
  <si>
    <t>1455 (4%)</t>
  </si>
  <si>
    <t>9507 (10%)</t>
  </si>
  <si>
    <t>8554 (9%)</t>
  </si>
  <si>
    <t>8275 (9%)</t>
  </si>
  <si>
    <t>8226 (9%)</t>
  </si>
  <si>
    <t>sample.Tracker</t>
  </si>
  <si>
    <t>6446 (7%)</t>
  </si>
  <si>
    <t>sample.Fire</t>
  </si>
  <si>
    <t>5619 (6%)</t>
  </si>
  <si>
    <t>5350 (6%)</t>
  </si>
  <si>
    <t>sample.RamFire</t>
  </si>
  <si>
    <t>5026 (5%)</t>
  </si>
  <si>
    <t>4834 (5%)</t>
  </si>
  <si>
    <t>sample.Corners</t>
  </si>
  <si>
    <t>4605 (5%)</t>
  </si>
  <si>
    <t>11th</t>
  </si>
  <si>
    <t>4355 (5%)</t>
  </si>
  <si>
    <t>12th</t>
  </si>
  <si>
    <t>4328 (5%)</t>
  </si>
  <si>
    <t>13th</t>
  </si>
  <si>
    <t>sample.TrackFire</t>
  </si>
  <si>
    <t>4183 (5%)</t>
  </si>
  <si>
    <t>14th</t>
  </si>
  <si>
    <t>3792 (4%)</t>
  </si>
  <si>
    <t>15th</t>
  </si>
  <si>
    <t>sample.MyFirstRobot</t>
  </si>
  <si>
    <t>3606 (4%)</t>
  </si>
  <si>
    <t>16th</t>
  </si>
  <si>
    <t>3367 (4%)</t>
  </si>
  <si>
    <t>17th</t>
  </si>
  <si>
    <t>sample.PaintingRobot</t>
  </si>
  <si>
    <t>2864 (3%)</t>
  </si>
  <si>
    <t>team1</t>
  </si>
  <si>
    <t>team2</t>
  </si>
  <si>
    <t>team3</t>
  </si>
  <si>
    <t>team8</t>
  </si>
  <si>
    <t>team5</t>
  </si>
  <si>
    <t>team6</t>
  </si>
  <si>
    <t>team7</t>
  </si>
  <si>
    <t>team4</t>
  </si>
  <si>
    <t>team10</t>
  </si>
  <si>
    <t>team9</t>
  </si>
  <si>
    <t>Earliest Time</t>
  </si>
  <si>
    <t>Latest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</si>
</sst>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400]h:mm:ss\ AM/PM"/>
    <numFmt numFmtId="165" formatCode="[$-F800]dddd\,\ mmmm\ dd\,\ yyyy"/>
  </numFmts>
  <fonts count="18" x14ac:knownFonts="1">
    <font>
      <sz val="10"/>
      <color theme="1"/>
      <name val="Arial"/>
      <family val="2"/>
    </font>
    <font>
      <b/>
      <sz val="10"/>
      <color theme="1"/>
      <name val="Tahoma"/>
      <family val="2"/>
    </font>
    <font>
      <sz val="10"/>
      <color theme="1"/>
      <name val="Tahoma"/>
      <family val="2"/>
    </font>
    <font>
      <b/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b/>
      <sz val="20"/>
      <color theme="1"/>
      <name val="Tahoma"/>
      <family val="2"/>
    </font>
    <font>
      <b/>
      <sz val="12"/>
      <color theme="1"/>
      <name val="Tahoma"/>
      <family val="2"/>
    </font>
    <font>
      <sz val="12"/>
      <color theme="1"/>
      <name val="Tahoma"/>
      <family val="2"/>
    </font>
    <font>
      <b/>
      <sz val="8"/>
      <color theme="1"/>
      <name val="Tahoma"/>
      <family val="2"/>
    </font>
    <font>
      <b/>
      <sz val="12"/>
      <name val="Tahoma"/>
      <family val="2"/>
    </font>
    <font>
      <sz val="10"/>
      <color rgb="FF000000"/>
      <name val="Arial"/>
      <family val="2"/>
    </font>
    <font>
      <b/>
      <sz val="12"/>
      <color theme="0"/>
      <name val="Tahoma"/>
      <family val="2"/>
    </font>
    <font>
      <sz val="8"/>
      <name val="Tahoma"/>
      <family val="2"/>
    </font>
    <font>
      <b/>
      <sz val="8"/>
      <color theme="1"/>
      <name val="Tahoma"/>
    </font>
    <font>
      <b/>
      <sz val="10"/>
      <color theme="1"/>
      <name val="Arial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/>
    <xf numFmtId="0" fontId="2" fillId="2" borderId="0" xfId="0" applyFont="1" applyFill="1" applyAlignment="1">
      <alignment horizontal="center"/>
    </xf>
    <xf numFmtId="20" fontId="1" fillId="0" borderId="0" xfId="0" applyNumberFormat="1" applyFont="1"/>
    <xf numFmtId="1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2" fillId="2" borderId="0" xfId="0" applyFont="1" applyFill="1" applyAlignment="1"/>
    <xf numFmtId="0" fontId="2" fillId="2" borderId="4" xfId="0" applyFont="1" applyFill="1" applyBorder="1" applyAlignment="1"/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7" fillId="2" borderId="1" xfId="0" applyFont="1" applyFill="1" applyBorder="1" applyAlignment="1">
      <alignment horizontal="left" textRotation="45"/>
    </xf>
    <xf numFmtId="0" fontId="7" fillId="2" borderId="2" xfId="0" applyFont="1" applyFill="1" applyBorder="1" applyAlignment="1">
      <alignment horizontal="left" textRotation="45"/>
    </xf>
    <xf numFmtId="20" fontId="6" fillId="2" borderId="0" xfId="0" applyNumberFormat="1" applyFont="1" applyFill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center" vertical="top" wrapText="1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7" fillId="2" borderId="7" xfId="0" applyFont="1" applyFill="1" applyBorder="1" applyAlignment="1">
      <alignment horizontal="left" textRotation="45"/>
    </xf>
    <xf numFmtId="0" fontId="10" fillId="2" borderId="5" xfId="0" applyFont="1" applyFill="1" applyBorder="1" applyAlignment="1">
      <alignment horizontal="center"/>
    </xf>
    <xf numFmtId="20" fontId="4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left" vertical="top"/>
    </xf>
    <xf numFmtId="0" fontId="4" fillId="0" borderId="0" xfId="0" applyFont="1" applyFill="1"/>
    <xf numFmtId="1" fontId="13" fillId="0" borderId="0" xfId="0" applyNumberFormat="1" applyFont="1" applyAlignment="1">
      <alignment horizontal="center"/>
    </xf>
    <xf numFmtId="0" fontId="15" fillId="0" borderId="0" xfId="0" applyFont="1"/>
    <xf numFmtId="0" fontId="3" fillId="0" borderId="0" xfId="0" applyFont="1" applyAlignment="1">
      <alignment vertical="top"/>
    </xf>
    <xf numFmtId="1" fontId="3" fillId="0" borderId="0" xfId="0" applyNumberFormat="1" applyFont="1" applyAlignment="1">
      <alignment horizontal="center" vertical="top"/>
    </xf>
    <xf numFmtId="1" fontId="3" fillId="0" borderId="0" xfId="0" applyNumberFormat="1" applyFon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4" fillId="0" borderId="0" xfId="0" applyNumberFormat="1" applyFont="1" applyAlignment="1">
      <alignment vertical="top"/>
    </xf>
    <xf numFmtId="1" fontId="14" fillId="0" borderId="0" xfId="0" applyNumberFormat="1" applyFont="1" applyAlignment="1">
      <alignment horizontal="center" vertical="top"/>
    </xf>
    <xf numFmtId="1" fontId="14" fillId="0" borderId="0" xfId="0" applyNumberFormat="1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16" fillId="0" borderId="0" xfId="0" applyFont="1" applyAlignment="1">
      <alignment horizontal="center"/>
    </xf>
    <xf numFmtId="1" fontId="16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16" fillId="0" borderId="0" xfId="0" applyFont="1"/>
    <xf numFmtId="46" fontId="2" fillId="2" borderId="0" xfId="0" applyNumberFormat="1" applyFont="1" applyFill="1" applyAlignment="1">
      <alignment horizontal="center"/>
    </xf>
    <xf numFmtId="46" fontId="2" fillId="2" borderId="4" xfId="0" applyNumberFormat="1" applyFont="1" applyFill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20" fontId="6" fillId="2" borderId="6" xfId="0" applyNumberFormat="1" applyFont="1" applyFill="1" applyBorder="1" applyAlignment="1">
      <alignment horizontal="center"/>
    </xf>
    <xf numFmtId="20" fontId="6" fillId="2" borderId="7" xfId="0" applyNumberFormat="1" applyFont="1" applyFill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12" fillId="3" borderId="8" xfId="0" applyFont="1" applyFill="1" applyBorder="1" applyAlignment="1">
      <alignment horizontal="center" vertical="top"/>
    </xf>
    <xf numFmtId="0" fontId="12" fillId="3" borderId="9" xfId="0" applyFont="1" applyFill="1" applyBorder="1" applyAlignment="1">
      <alignment horizontal="center" vertical="top"/>
    </xf>
    <xf numFmtId="0" fontId="12" fillId="3" borderId="2" xfId="0" applyFont="1" applyFill="1" applyBorder="1" applyAlignment="1">
      <alignment horizontal="center" vertical="top"/>
    </xf>
    <xf numFmtId="0" fontId="12" fillId="3" borderId="8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</cellXfs>
  <cellStyles count="1">
    <cellStyle name="Normal" xfId="0" builtinId="0"/>
  </cellStyles>
  <dxfs count="1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64" formatCode="[$-F400]h:mm:ss\ AM/P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0" formatCode="General"/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0" formatCode="General"/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0" formatCode="General"/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0" formatCode="General"/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vertical="top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Tahom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ahom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ahoma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ahoma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Tahom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ahoma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ahoma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Tahoma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ahoma"/>
        <scheme val="none"/>
      </font>
    </dxf>
    <dxf>
      <font>
        <b/>
        <i val="0"/>
        <strike val="0"/>
        <outline val="0"/>
        <shadow val="0"/>
        <u val="none"/>
        <vertAlign val="baseline"/>
        <sz val="14"/>
        <color theme="1"/>
        <name val="Tahom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aho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ahoma"/>
        <scheme val="none"/>
      </font>
      <alignment horizontal="center" vertical="bottom" textRotation="0" wrapText="0" indent="0" justifyLastLine="0" shrinkToFit="0" readingOrder="0"/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323850</xdr:colOff>
          <xdr:row>17</xdr:row>
          <xdr:rowOff>161925</xdr:rowOff>
        </xdr:from>
        <xdr:to>
          <xdr:col>27</xdr:col>
          <xdr:colOff>0</xdr:colOff>
          <xdr:row>20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Countdown to Battle 1 &amp;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18</xdr:row>
          <xdr:rowOff>9525</xdr:rowOff>
        </xdr:from>
        <xdr:to>
          <xdr:col>29</xdr:col>
          <xdr:colOff>695325</xdr:colOff>
          <xdr:row>20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Countdown to Battle 3 &amp; 4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</xdr:row>
      <xdr:rowOff>19050</xdr:rowOff>
    </xdr:from>
    <xdr:to>
      <xdr:col>2</xdr:col>
      <xdr:colOff>962024</xdr:colOff>
      <xdr:row>2</xdr:row>
      <xdr:rowOff>304801</xdr:rowOff>
    </xdr:to>
    <xdr:sp macro="" textlink="$A$2">
      <xdr:nvSpPr>
        <xdr:cNvPr id="2" name="TextBox 1" title="10:59:36"/>
        <xdr:cNvSpPr txBox="1"/>
      </xdr:nvSpPr>
      <xdr:spPr>
        <a:xfrm>
          <a:off x="0" y="19050"/>
          <a:ext cx="2886074" cy="476251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F70BAFA-EB4D-4374-881E-F4BCCD46546D}" type="TxLink">
            <a:rPr lang="en-US" sz="3600" b="1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Tahoma"/>
              <a:ea typeface="Tahoma"/>
              <a:cs typeface="Tahoma"/>
            </a:rPr>
            <a:pPr algn="ctr"/>
            <a:t>0:00:00</a:t>
          </a:fld>
          <a:endParaRPr lang="en-GB" sz="36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15</xdr:row>
          <xdr:rowOff>142875</xdr:rowOff>
        </xdr:from>
        <xdr:to>
          <xdr:col>30</xdr:col>
          <xdr:colOff>9525</xdr:colOff>
          <xdr:row>17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Stop Countdown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152400</xdr:rowOff>
        </xdr:from>
        <xdr:to>
          <xdr:col>27</xdr:col>
          <xdr:colOff>1190625</xdr:colOff>
          <xdr:row>21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 Rank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e3" displayName="Table3" ref="A4:AH14" totalsRowShown="0" headerRowDxfId="119" dataDxfId="118">
  <sortState ref="A5:AH14">
    <sortCondition ref="A4"/>
  </sortState>
  <tableColumns count="34">
    <tableColumn id="1" name="#" dataDxfId="117"/>
    <tableColumn id="2" name="Name" dataDxfId="116"/>
    <tableColumn id="3" name="Kings Aides" dataDxfId="115"/>
    <tableColumn id="4" name="A" dataDxfId="114"/>
    <tableColumn id="5" name="B" dataDxfId="113"/>
    <tableColumn id="6" name="C" dataDxfId="112"/>
    <tableColumn id="7" name="D" dataDxfId="111"/>
    <tableColumn id="8" name="E" dataDxfId="110"/>
    <tableColumn id="9" name="F" dataDxfId="109"/>
    <tableColumn id="10" name="G" dataDxfId="108"/>
    <tableColumn id="11" name="H" dataDxfId="107"/>
    <tableColumn id="12" name="I" dataDxfId="106"/>
    <tableColumn id="13" name="J" dataDxfId="105"/>
    <tableColumn id="14" name="K" dataDxfId="104"/>
    <tableColumn id="15" name="L" dataDxfId="103"/>
    <tableColumn id="16" name="M" dataDxfId="102"/>
    <tableColumn id="17" name="N" dataDxfId="101"/>
    <tableColumn id="18" name="O" dataDxfId="100"/>
    <tableColumn id="19" name="P" dataDxfId="99"/>
    <tableColumn id="38" name="Q" dataDxfId="98"/>
    <tableColumn id="37" name="R" dataDxfId="97"/>
    <tableColumn id="36" name="S" dataDxfId="96"/>
    <tableColumn id="40" name="T" dataDxfId="95"/>
    <tableColumn id="39" name="U" dataDxfId="94"/>
    <tableColumn id="41" name="V" dataDxfId="93"/>
    <tableColumn id="20" name="Battle 1" dataDxfId="92">
      <calculatedColumnFormula>IFERROR(VLOOKUP(Table3[[#This Row],[Name]],battle1,3,FALSE),0)</calculatedColumnFormula>
    </tableColumn>
    <tableColumn id="21" name="Battle 2" dataDxfId="91">
      <calculatedColumnFormula>IFERROR(VLOOKUP(Table3[[#This Row],[Name]],battle2,3,FALSE),0)</calculatedColumnFormula>
    </tableColumn>
    <tableColumn id="22" name="Previous Rank" dataDxfId="90"/>
    <tableColumn id="23" name="Battle 3" dataDxfId="89">
      <calculatedColumnFormula>IFERROR(VLOOKUP(Table3[[#This Row],[Name]],battle3,3,FALSE),0)</calculatedColumnFormula>
    </tableColumn>
    <tableColumn id="24" name="Battle 4" dataDxfId="88">
      <calculatedColumnFormula>IFERROR(VLOOKUP(Table3[[#This Row],[Name]],battle4,3,FALSE),0)</calculatedColumnFormula>
    </tableColumn>
    <tableColumn id="26" name="Rank" dataDxfId="87">
      <calculatedColumnFormula>RANK(Table3[[#This Row],[Points]],Table3[Points],0)</calculatedColumnFormula>
    </tableColumn>
    <tableColumn id="27" name="Trending" dataDxfId="86"/>
    <tableColumn id="28" name="Trend" dataDxfId="85"/>
    <tableColumn id="25" name="Points" dataDxfId="84">
      <calculatedColumnFormula xml:space="preserve"> IF(NOT(ISBLANK(D5)),$D$3,0) + IF(NOT(ISBLANK(E5)),$E$3,0) + IF(NOT(ISBLANK(F5)),$F$3,0) + IF(NOT(ISBLANK(G5)),$G$3,0) + IF(NOT(ISBLANK(H5)),$H$3,0) + IF(NOT(ISBLANK(I5)),$I$3,0) + IF(NOT(ISBLANK(J5)),$J$3,0) + IF(NOT(ISBLANK(K5)),$K$3,0) + IF(NOT(ISBLANK(L5)),$L$3,0) + IF(NOT(ISBLANK(M5)),$M$3,0) + IF(NOT(ISBLANK(N5)),$N$3,0) + IF(NOT(ISBLANK(O5)),$O$3,0) + IF(NOT(ISBLANK(P5)),$P$3*P5,0) + IF(NOT(ISBLANK(Q5)),$Q$3*Q5,0) + IF(NOT(ISBLANK(R5)),$R$3,0) + IF(NOT(ISBLANK(S5)),$S$3,0) + IF(NOT(ISBLANK(T5)),$T$3,0) + IF(NOT(ISBLANK(U5)),$U$3,0) + IF(NOT(ISBLANK(V5)),$V$3*V5,0) + IF(NOT(ISBLANK(W5)),$W$3,0) + IF(NOT(ISBLANK(X5)),$X$3,0) + Y5 + Z5 + AA5 + AC5 + AD5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2:O12" totalsRowShown="0" headerRowDxfId="83" dataDxfId="82">
  <tableColumns count="15">
    <tableColumn id="14" name="robot name" dataDxfId="81">
      <calculatedColumnFormula>SUBSTITUTE(TRIM(RIGHT(SUBSTITUTE(E3,".",REPT(" ",LEN(E3))),LEN(E3))),"*","")</calculatedColumnFormula>
    </tableColumn>
    <tableColumn id="13" name="fixedposition" dataDxfId="80">
      <calculatedColumnFormula>INT(SUBSTITUTE(SUBSTITUTE(SUBSTITUTE(SUBSTITUTE(D3,"st",""),"nd",""),"rd",""),"th",""))</calculatedColumnFormula>
    </tableColumn>
    <tableColumn id="15" name="points" dataDxfId="79">
      <calculatedColumnFormula>IFERROR(VLOOKUP(Table4[[#This Row],[fixedposition]],BattlePosition,2,FALSE),0)</calculatedColumnFormula>
    </tableColumn>
    <tableColumn id="1" name="position" dataDxfId="78"/>
    <tableColumn id="2" name="full robot name" dataDxfId="77"/>
    <tableColumn id="3" name="total score" dataDxfId="76"/>
    <tableColumn id="4" name="survival" dataDxfId="75"/>
    <tableColumn id="5" name="survival bonus" dataDxfId="74"/>
    <tableColumn id="6" name="bullet damage" dataDxfId="73"/>
    <tableColumn id="7" name="bullet bonus" dataDxfId="72"/>
    <tableColumn id="8" name="ram damage * 2" dataDxfId="71"/>
    <tableColumn id="9" name="ram bonus" dataDxfId="70"/>
    <tableColumn id="10" name="1sts" dataDxfId="69"/>
    <tableColumn id="11" name="2nds" dataDxfId="68"/>
    <tableColumn id="12" name="3rds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5" name="Table416" displayName="Table416" ref="A2:O12" totalsRowShown="0" headerRowDxfId="66" dataDxfId="65">
  <sortState ref="A3:O17">
    <sortCondition descending="1" ref="I3:I17"/>
  </sortState>
  <tableColumns count="15">
    <tableColumn id="14" name="robot name" dataDxfId="64">
      <calculatedColumnFormula>SUBSTITUTE(TRIM(RIGHT(SUBSTITUTE(E3,".",REPT(" ",LEN(E3))),LEN(E3))),"*","")</calculatedColumnFormula>
    </tableColumn>
    <tableColumn id="13" name="fixedposition" dataDxfId="63">
      <calculatedColumnFormula>INT(SUBSTITUTE(SUBSTITUTE(SUBSTITUTE(SUBSTITUTE(D3,"st",""),"nd",""),"rd",""),"th",""))</calculatedColumnFormula>
    </tableColumn>
    <tableColumn id="15" name="points" dataDxfId="62">
      <calculatedColumnFormula>IFERROR(VLOOKUP(Table416[[#This Row],[fixedposition]],BattlePosition,2,FALSE),0)</calculatedColumnFormula>
    </tableColumn>
    <tableColumn id="1" name="position" dataDxfId="61"/>
    <tableColumn id="2" name="full robot name" dataDxfId="60"/>
    <tableColumn id="3" name="total score" dataDxfId="59"/>
    <tableColumn id="4" name="survival" dataDxfId="58"/>
    <tableColumn id="5" name="survival bonus" dataDxfId="57"/>
    <tableColumn id="6" name="bullet damage" dataDxfId="56"/>
    <tableColumn id="7" name="bullet bonus" dataDxfId="55"/>
    <tableColumn id="8" name="ram damage * 2" dataDxfId="54"/>
    <tableColumn id="9" name="ram bonus" dataDxfId="53"/>
    <tableColumn id="10" name="1sts" dataDxfId="52"/>
    <tableColumn id="11" name="2nds" dataDxfId="51"/>
    <tableColumn id="12" name="3rds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7" name="Table41618" displayName="Table41618" ref="A2:O12" totalsRowShown="0" headerRowDxfId="49" dataDxfId="48">
  <tableColumns count="15">
    <tableColumn id="14" name="robot name" dataDxfId="47">
      <calculatedColumnFormula>SUBSTITUTE(TRIM(RIGHT(SUBSTITUTE(E3,".",REPT(" ",LEN(E3))),LEN(E3))),"*","")</calculatedColumnFormula>
    </tableColumn>
    <tableColumn id="13" name="fixedposition" dataDxfId="46">
      <calculatedColumnFormula>INT(SUBSTITUTE(SUBSTITUTE(SUBSTITUTE(SUBSTITUTE(D3,"st",""),"nd",""),"rd",""),"th",""))</calculatedColumnFormula>
    </tableColumn>
    <tableColumn id="15" name="points" dataDxfId="45">
      <calculatedColumnFormula>IFERROR(VLOOKUP(Table41618[[#This Row],[fixedposition]],BattlePosition,2,FALSE),0)</calculatedColumnFormula>
    </tableColumn>
    <tableColumn id="1" name="position" dataDxfId="44"/>
    <tableColumn id="2" name="full robot name" dataDxfId="43"/>
    <tableColumn id="3" name="total score" dataDxfId="42"/>
    <tableColumn id="4" name="survival" dataDxfId="41"/>
    <tableColumn id="5" name="survival bonus" dataDxfId="40"/>
    <tableColumn id="6" name="bullet damage" dataDxfId="39"/>
    <tableColumn id="7" name="bullet bonus" dataDxfId="38"/>
    <tableColumn id="8" name="ram damage * 2" dataDxfId="37"/>
    <tableColumn id="9" name="ram bonus" dataDxfId="36"/>
    <tableColumn id="10" name="1sts" dataDxfId="35"/>
    <tableColumn id="11" name="2nds" dataDxfId="34"/>
    <tableColumn id="12" name="3rds" dataDxfId="3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9" name="Table4161820" displayName="Table4161820" ref="A2:O19" totalsRowShown="0" headerRowDxfId="32" dataDxfId="31">
  <tableColumns count="15">
    <tableColumn id="14" name="robot name" dataDxfId="30">
      <calculatedColumnFormula>SUBSTITUTE(TRIM(RIGHT(SUBSTITUTE(E3,".",REPT(" ",LEN(E3))),LEN(E3))),"*","")</calculatedColumnFormula>
    </tableColumn>
    <tableColumn id="13" name="fixedposition" dataDxfId="29">
      <calculatedColumnFormula>INT(SUBSTITUTE(SUBSTITUTE(SUBSTITUTE(SUBSTITUTE(D3,"st",""),"nd",""),"rd",""),"th",""))</calculatedColumnFormula>
    </tableColumn>
    <tableColumn id="15" name="points" dataDxfId="28">
      <calculatedColumnFormula>IFERROR(VLOOKUP(Table4161820[[#This Row],[fixedposition]],BattlePosition,2,FALSE),0)</calculatedColumnFormula>
    </tableColumn>
    <tableColumn id="1" name="position" dataDxfId="27"/>
    <tableColumn id="2" name="full robot name" dataDxfId="26"/>
    <tableColumn id="3" name="total score" dataDxfId="25"/>
    <tableColumn id="4" name="survival" dataDxfId="24"/>
    <tableColumn id="5" name="survival bonus" dataDxfId="23"/>
    <tableColumn id="6" name="bullet damage" dataDxfId="22"/>
    <tableColumn id="7" name="bullet bonus" dataDxfId="21"/>
    <tableColumn id="8" name="ram damage * 2" dataDxfId="20"/>
    <tableColumn id="9" name="ram bonus" dataDxfId="19"/>
    <tableColumn id="10" name="1sts" dataDxfId="18"/>
    <tableColumn id="11" name="2nds" dataDxfId="17"/>
    <tableColumn id="12" name="3rds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Table1" displayName="Table1" ref="A1:G23" totalsRowShown="0" headerRowDxfId="15" dataDxfId="14">
  <tableColumns count="7">
    <tableColumn id="1" name="Code" dataDxfId="13"/>
    <tableColumn id="2" name="Description" dataDxfId="12"/>
    <tableColumn id="8" name="Examples" dataDxfId="11"/>
    <tableColumn id="3" name="Points" dataDxfId="10"/>
    <tableColumn id="4" name="Has Prize?" dataDxfId="9"/>
    <tableColumn id="6" name="Multiples" dataDxfId="8"/>
    <tableColumn id="7" name="Category" dataDxfId="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I1:J11" totalsRowShown="0" headerRowDxfId="6" dataDxfId="5">
  <tableColumns count="2">
    <tableColumn id="1" name="Position" dataDxfId="4"/>
    <tableColumn id="2" name="Points" dataDxfId="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Table6" displayName="Table6" ref="L1:M5" totalsRowShown="0" headerRowDxfId="2">
  <tableColumns count="2">
    <tableColumn id="1" name="Parameter Description" dataDxfId="1"/>
    <tableColumn id="2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H43"/>
  <sheetViews>
    <sheetView tabSelected="1" zoomScaleNormal="100" workbookViewId="0">
      <pane xSplit="3" ySplit="4" topLeftCell="D5" activePane="bottomRight" state="frozen"/>
      <selection activeCell="A2" sqref="A2"/>
      <selection pane="topRight" activeCell="D2" sqref="D2"/>
      <selection pane="bottomLeft" activeCell="A5" sqref="A5"/>
      <selection pane="bottomRight" activeCell="A2" sqref="A2:C3"/>
    </sheetView>
  </sheetViews>
  <sheetFormatPr defaultColWidth="9.140625" defaultRowHeight="12.75" x14ac:dyDescent="0.2"/>
  <cols>
    <col min="1" max="1" width="4.5703125" style="2" customWidth="1"/>
    <col min="2" max="2" width="24.7109375" style="3" customWidth="1"/>
    <col min="3" max="3" width="14.85546875" style="3" bestFit="1" customWidth="1"/>
    <col min="4" max="22" width="5.28515625" style="2" bestFit="1" customWidth="1"/>
    <col min="23" max="25" width="5" style="2" bestFit="1" customWidth="1"/>
    <col min="26" max="26" width="10.5703125" style="2" bestFit="1" customWidth="1"/>
    <col min="27" max="27" width="10.5703125" style="2" customWidth="1"/>
    <col min="28" max="28" width="18.28515625" style="2" hidden="1" customWidth="1"/>
    <col min="29" max="30" width="10.5703125" style="2" bestFit="1" customWidth="1"/>
    <col min="31" max="31" width="8.140625" style="2" bestFit="1" customWidth="1"/>
    <col min="32" max="32" width="14" style="2" hidden="1" customWidth="1"/>
    <col min="33" max="33" width="14.42578125" style="2" hidden="1" customWidth="1"/>
    <col min="34" max="34" width="9.85546875" style="3" bestFit="1" customWidth="1"/>
    <col min="35" max="16384" width="9.140625" style="3"/>
  </cols>
  <sheetData>
    <row r="1" spans="1:34" ht="193.5" hidden="1" x14ac:dyDescent="0.2">
      <c r="A1" s="12"/>
      <c r="B1" s="12"/>
      <c r="C1" s="13"/>
      <c r="D1" s="18" t="str">
        <f t="shared" ref="D1:Y1" si="0">VLOOKUP(D4,Prizes,2,FALSE)</f>
        <v>Submit their team name</v>
      </c>
      <c r="E1" s="18" t="str">
        <f t="shared" si="0"/>
        <v>Identifies best basic robot to start with</v>
      </c>
      <c r="F1" s="18" t="str">
        <f t="shared" si="0"/>
        <v>Successfully run their custom robot</v>
      </c>
      <c r="G1" s="18" t="str">
        <f t="shared" si="0"/>
        <v>Using GIT to version their robot</v>
      </c>
      <c r="H1" s="18" t="str">
        <f t="shared" si="0"/>
        <v>Everyone codes</v>
      </c>
      <c r="I1" s="18" t="str">
        <f t="shared" si="0"/>
        <v>Taking stock (being Agile-y)</v>
      </c>
      <c r="J1" s="18" t="str">
        <f t="shared" si="0"/>
        <v>Thinking differently or deviously</v>
      </c>
      <c r="K1" s="18" t="str">
        <f t="shared" si="0"/>
        <v xml:space="preserve">Asking questions about the rules </v>
      </c>
      <c r="L1" s="18" t="str">
        <f t="shared" si="0"/>
        <v>Asking about things the king likes</v>
      </c>
      <c r="M1" s="18" t="str">
        <f t="shared" si="0"/>
        <v>Devising a testing strategy</v>
      </c>
      <c r="N1" s="18" t="str">
        <f t="shared" si="0"/>
        <v>Testing bots against other teams</v>
      </c>
      <c r="O1" s="18" t="str">
        <f t="shared" si="0"/>
        <v>Testing different battlefield sizes/shapes</v>
      </c>
      <c r="P1" s="18" t="str">
        <f t="shared" si="0"/>
        <v>Not Testing, pushing a broken build</v>
      </c>
      <c r="Q1" s="18" t="str">
        <f t="shared" si="0"/>
        <v>Not following rules/standards or cheating</v>
      </c>
      <c r="R1" s="18" t="str">
        <f t="shared" si="0"/>
        <v>Building a tactical (multi-strategy) robot</v>
      </c>
      <c r="S1" s="19" t="str">
        <f t="shared" si="0"/>
        <v>Making the colors on the robot change</v>
      </c>
      <c r="T1" s="29" t="str">
        <f t="shared" si="0"/>
        <v>Talking to another team</v>
      </c>
      <c r="U1" s="19" t="str">
        <f t="shared" si="0"/>
        <v>Forming an alliance with another team</v>
      </c>
      <c r="V1" s="19" t="str">
        <f t="shared" si="0"/>
        <v>Asking another teams mentor for advice</v>
      </c>
      <c r="W1" s="19" t="str">
        <f t="shared" si="0"/>
        <v>Making their robot do a victory dance</v>
      </c>
      <c r="X1" s="19" t="str">
        <f t="shared" si="0"/>
        <v>Planning the retrospective questions</v>
      </c>
      <c r="Y1" s="19" t="str">
        <f t="shared" si="0"/>
        <v>Mentors choice</v>
      </c>
      <c r="Z1" s="8"/>
      <c r="AA1" s="8"/>
      <c r="AB1" s="8"/>
      <c r="AC1" s="8"/>
      <c r="AD1" s="8"/>
      <c r="AE1" s="8"/>
      <c r="AF1" s="8"/>
      <c r="AG1" s="8"/>
    </row>
    <row r="2" spans="1:34" ht="15" x14ac:dyDescent="0.2">
      <c r="A2" s="52">
        <v>0</v>
      </c>
      <c r="B2" s="52"/>
      <c r="C2" s="53"/>
      <c r="D2" s="54" t="s">
        <v>85</v>
      </c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6"/>
      <c r="Z2" s="59" t="s">
        <v>34</v>
      </c>
      <c r="AA2" s="60"/>
      <c r="AB2" s="60"/>
      <c r="AC2" s="60"/>
      <c r="AD2" s="61"/>
      <c r="AE2" s="8"/>
      <c r="AF2" s="8"/>
      <c r="AG2" s="8"/>
    </row>
    <row r="3" spans="1:34" ht="25.5" x14ac:dyDescent="0.35">
      <c r="A3" s="52"/>
      <c r="B3" s="52"/>
      <c r="C3" s="53"/>
      <c r="D3" s="30">
        <f t="shared" ref="D3:Y3" si="1">VLOOKUP(D4,Prizes,4,FALSE)</f>
        <v>1</v>
      </c>
      <c r="E3" s="30">
        <f t="shared" si="1"/>
        <v>7</v>
      </c>
      <c r="F3" s="30">
        <f t="shared" si="1"/>
        <v>1</v>
      </c>
      <c r="G3" s="30">
        <f t="shared" si="1"/>
        <v>3</v>
      </c>
      <c r="H3" s="30">
        <f t="shared" si="1"/>
        <v>10</v>
      </c>
      <c r="I3" s="30">
        <f t="shared" si="1"/>
        <v>10</v>
      </c>
      <c r="J3" s="30">
        <f t="shared" si="1"/>
        <v>7</v>
      </c>
      <c r="K3" s="30">
        <f t="shared" si="1"/>
        <v>3</v>
      </c>
      <c r="L3" s="30">
        <f t="shared" si="1"/>
        <v>3</v>
      </c>
      <c r="M3" s="30">
        <f t="shared" si="1"/>
        <v>10</v>
      </c>
      <c r="N3" s="30">
        <f t="shared" si="1"/>
        <v>20</v>
      </c>
      <c r="O3" s="30">
        <f t="shared" si="1"/>
        <v>5</v>
      </c>
      <c r="P3" s="30">
        <f t="shared" si="1"/>
        <v>-10</v>
      </c>
      <c r="Q3" s="30">
        <f t="shared" si="1"/>
        <v>-3</v>
      </c>
      <c r="R3" s="30">
        <f t="shared" si="1"/>
        <v>10</v>
      </c>
      <c r="S3" s="30">
        <f t="shared" si="1"/>
        <v>1</v>
      </c>
      <c r="T3" s="30">
        <f t="shared" si="1"/>
        <v>5</v>
      </c>
      <c r="U3" s="30">
        <f t="shared" si="1"/>
        <v>8</v>
      </c>
      <c r="V3" s="30">
        <f t="shared" si="1"/>
        <v>8</v>
      </c>
      <c r="W3" s="30">
        <f t="shared" si="1"/>
        <v>2</v>
      </c>
      <c r="X3" s="30">
        <f t="shared" si="1"/>
        <v>7</v>
      </c>
      <c r="Y3" s="30" t="str">
        <f t="shared" si="1"/>
        <v>?</v>
      </c>
      <c r="Z3" s="57">
        <v>0.5</v>
      </c>
      <c r="AA3" s="58"/>
      <c r="AB3" s="8"/>
      <c r="AC3" s="57">
        <v>0.64583333333333337</v>
      </c>
      <c r="AD3" s="58"/>
      <c r="AE3" s="20"/>
      <c r="AF3" s="20"/>
      <c r="AG3" s="8"/>
    </row>
    <row r="4" spans="1:34" s="1" customFormat="1" ht="18" x14ac:dyDescent="0.25">
      <c r="A4" s="14" t="s">
        <v>0</v>
      </c>
      <c r="B4" s="15" t="s">
        <v>32</v>
      </c>
      <c r="C4" s="15" t="s">
        <v>31</v>
      </c>
      <c r="D4" s="14" t="s">
        <v>4</v>
      </c>
      <c r="E4" s="14" t="s">
        <v>5</v>
      </c>
      <c r="F4" s="14" t="s">
        <v>7</v>
      </c>
      <c r="G4" s="14" t="s">
        <v>6</v>
      </c>
      <c r="H4" s="14" t="s">
        <v>8</v>
      </c>
      <c r="I4" s="14" t="s">
        <v>9</v>
      </c>
      <c r="J4" s="14" t="s">
        <v>10</v>
      </c>
      <c r="K4" s="14" t="s">
        <v>11</v>
      </c>
      <c r="L4" s="14" t="s">
        <v>12</v>
      </c>
      <c r="M4" s="14" t="s">
        <v>13</v>
      </c>
      <c r="N4" s="14" t="s">
        <v>14</v>
      </c>
      <c r="O4" s="14" t="s">
        <v>15</v>
      </c>
      <c r="P4" s="14" t="s">
        <v>16</v>
      </c>
      <c r="Q4" s="14" t="s">
        <v>17</v>
      </c>
      <c r="R4" s="14" t="s">
        <v>26</v>
      </c>
      <c r="S4" s="14" t="s">
        <v>30</v>
      </c>
      <c r="T4" s="14" t="s">
        <v>57</v>
      </c>
      <c r="U4" s="14" t="s">
        <v>58</v>
      </c>
      <c r="V4" s="14" t="s">
        <v>59</v>
      </c>
      <c r="W4" s="14" t="s">
        <v>60</v>
      </c>
      <c r="X4" s="14" t="s">
        <v>61</v>
      </c>
      <c r="Y4" s="14" t="s">
        <v>62</v>
      </c>
      <c r="Z4" s="14" t="s">
        <v>18</v>
      </c>
      <c r="AA4" s="14" t="s">
        <v>19</v>
      </c>
      <c r="AB4" s="14" t="s">
        <v>109</v>
      </c>
      <c r="AC4" s="14" t="s">
        <v>20</v>
      </c>
      <c r="AD4" s="14" t="s">
        <v>21</v>
      </c>
      <c r="AE4" s="48" t="s">
        <v>35</v>
      </c>
      <c r="AF4" s="48" t="s">
        <v>33</v>
      </c>
      <c r="AG4" s="48" t="s">
        <v>110</v>
      </c>
      <c r="AH4" s="48" t="s">
        <v>3</v>
      </c>
    </row>
    <row r="5" spans="1:34" ht="18" x14ac:dyDescent="0.25">
      <c r="A5" s="48">
        <v>1</v>
      </c>
      <c r="B5" s="51" t="s">
        <v>202</v>
      </c>
      <c r="C5" s="16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7">
        <v>0</v>
      </c>
      <c r="Q5" s="32">
        <v>0</v>
      </c>
      <c r="R5" s="31"/>
      <c r="S5" s="31"/>
      <c r="T5" s="31"/>
      <c r="U5" s="31"/>
      <c r="V5" s="32">
        <v>0</v>
      </c>
      <c r="W5" s="31"/>
      <c r="X5" s="31"/>
      <c r="Y5" s="32">
        <v>0</v>
      </c>
      <c r="Z5" s="17">
        <f>IFERROR(VLOOKUP(Table3[[#This Row],[Name]],battle1,3,FALSE),0)</f>
        <v>0</v>
      </c>
      <c r="AA5" s="17">
        <f>IFERROR(VLOOKUP(Table3[[#This Row],[Name]],battle2,3,FALSE),0)</f>
        <v>0</v>
      </c>
      <c r="AB5" s="22"/>
      <c r="AC5" s="17">
        <f>IFERROR(VLOOKUP(Table3[[#This Row],[Name]],battle3,3,FALSE),0)</f>
        <v>0</v>
      </c>
      <c r="AD5" s="17">
        <f>IFERROR(VLOOKUP(Table3[[#This Row],[Name]],battle4,3,FALSE),0)</f>
        <v>0</v>
      </c>
      <c r="AE5" s="49">
        <f>RANK(Table3[[#This Row],[Points]],Table3[Points],0)</f>
        <v>1</v>
      </c>
      <c r="AF5" s="50"/>
      <c r="AG5" s="50"/>
      <c r="AH5" s="49">
        <f t="shared" ref="AH5:AH14" si="2" xml:space="preserve"> IF(NOT(ISBLANK(D5)),$D$3,0) + IF(NOT(ISBLANK(E5)),$E$3,0) + IF(NOT(ISBLANK(F5)),$F$3,0) + IF(NOT(ISBLANK(G5)),$G$3,0) + IF(NOT(ISBLANK(H5)),$H$3,0) + IF(NOT(ISBLANK(I5)),$I$3,0) + IF(NOT(ISBLANK(J5)),$J$3,0) + IF(NOT(ISBLANK(K5)),$K$3,0) + IF(NOT(ISBLANK(L5)),$L$3,0) + IF(NOT(ISBLANK(M5)),$M$3,0) + IF(NOT(ISBLANK(N5)),$N$3,0) + IF(NOT(ISBLANK(O5)),$O$3,0) + IF(NOT(ISBLANK(P5)),$P$3*P5,0) + IF(NOT(ISBLANK(Q5)),$Q$3*Q5,0) + IF(NOT(ISBLANK(R5)),$R$3,0) + IF(NOT(ISBLANK(S5)),$S$3,0) + IF(NOT(ISBLANK(T5)),$T$3,0) + IF(NOT(ISBLANK(U5)),$U$3,0) + IF(NOT(ISBLANK(V5)),$V$3*V5,0) + IF(NOT(ISBLANK(W5)),$W$3,0) + IF(NOT(ISBLANK(X5)),$X$3,0) + Y5 + Z5 + AA5 + AC5 + AD5</f>
        <v>0</v>
      </c>
    </row>
    <row r="6" spans="1:34" ht="18" x14ac:dyDescent="0.25">
      <c r="A6" s="48">
        <v>2</v>
      </c>
      <c r="B6" s="51" t="s">
        <v>203</v>
      </c>
      <c r="C6" s="16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7">
        <v>0</v>
      </c>
      <c r="Q6" s="32">
        <v>0</v>
      </c>
      <c r="R6" s="31"/>
      <c r="S6" s="31"/>
      <c r="T6" s="31"/>
      <c r="U6" s="31"/>
      <c r="V6" s="32">
        <v>0</v>
      </c>
      <c r="W6" s="31"/>
      <c r="X6" s="31"/>
      <c r="Y6" s="32">
        <v>0</v>
      </c>
      <c r="Z6" s="17">
        <f>IFERROR(VLOOKUP(Table3[[#This Row],[Name]],battle1,3,FALSE),0)</f>
        <v>0</v>
      </c>
      <c r="AA6" s="17">
        <f>IFERROR(VLOOKUP(Table3[[#This Row],[Name]],battle2,3,FALSE),0)</f>
        <v>0</v>
      </c>
      <c r="AB6" s="22"/>
      <c r="AC6" s="17">
        <f>IFERROR(VLOOKUP(Table3[[#This Row],[Name]],battle3,3,FALSE),0)</f>
        <v>0</v>
      </c>
      <c r="AD6" s="17">
        <f>IFERROR(VLOOKUP(Table3[[#This Row],[Name]],battle4,3,FALSE),0)</f>
        <v>0</v>
      </c>
      <c r="AE6" s="49">
        <f>RANK(Table3[[#This Row],[Points]],Table3[Points],0)</f>
        <v>1</v>
      </c>
      <c r="AF6" s="50"/>
      <c r="AG6" s="50"/>
      <c r="AH6" s="49">
        <f t="shared" si="2"/>
        <v>0</v>
      </c>
    </row>
    <row r="7" spans="1:34" ht="18" x14ac:dyDescent="0.25">
      <c r="A7" s="48">
        <v>3</v>
      </c>
      <c r="B7" s="51" t="s">
        <v>204</v>
      </c>
      <c r="C7" s="16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7">
        <v>0</v>
      </c>
      <c r="Q7" s="32">
        <v>0</v>
      </c>
      <c r="R7" s="31"/>
      <c r="S7" s="31"/>
      <c r="T7" s="31"/>
      <c r="U7" s="31"/>
      <c r="V7" s="32">
        <v>0</v>
      </c>
      <c r="W7" s="31"/>
      <c r="X7" s="31"/>
      <c r="Y7" s="32">
        <v>0</v>
      </c>
      <c r="Z7" s="17">
        <f>IFERROR(VLOOKUP(Table3[[#This Row],[Name]],battle1,3,FALSE),0)</f>
        <v>0</v>
      </c>
      <c r="AA7" s="17">
        <f>IFERROR(VLOOKUP(Table3[[#This Row],[Name]],battle2,3,FALSE),0)</f>
        <v>0</v>
      </c>
      <c r="AB7" s="22"/>
      <c r="AC7" s="17">
        <f>IFERROR(VLOOKUP(Table3[[#This Row],[Name]],battle3,3,FALSE),0)</f>
        <v>0</v>
      </c>
      <c r="AD7" s="17">
        <f>IFERROR(VLOOKUP(Table3[[#This Row],[Name]],battle4,3,FALSE),0)</f>
        <v>0</v>
      </c>
      <c r="AE7" s="49">
        <f>RANK(Table3[[#This Row],[Points]],Table3[Points],0)</f>
        <v>1</v>
      </c>
      <c r="AF7" s="50"/>
      <c r="AG7" s="50"/>
      <c r="AH7" s="49">
        <f t="shared" si="2"/>
        <v>0</v>
      </c>
    </row>
    <row r="8" spans="1:34" ht="18" x14ac:dyDescent="0.25">
      <c r="A8" s="48">
        <v>4</v>
      </c>
      <c r="B8" s="51" t="s">
        <v>209</v>
      </c>
      <c r="C8" s="16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7">
        <v>0</v>
      </c>
      <c r="Q8" s="32">
        <v>0</v>
      </c>
      <c r="R8" s="31"/>
      <c r="S8" s="31"/>
      <c r="T8" s="31"/>
      <c r="U8" s="31"/>
      <c r="V8" s="32">
        <v>0</v>
      </c>
      <c r="W8" s="31"/>
      <c r="X8" s="31"/>
      <c r="Y8" s="32">
        <v>0</v>
      </c>
      <c r="Z8" s="17">
        <f>IFERROR(VLOOKUP(Table3[[#This Row],[Name]],battle1,3,FALSE),0)</f>
        <v>0</v>
      </c>
      <c r="AA8" s="17">
        <f>IFERROR(VLOOKUP(Table3[[#This Row],[Name]],battle2,3,FALSE),0)</f>
        <v>0</v>
      </c>
      <c r="AB8" s="22"/>
      <c r="AC8" s="17">
        <f>IFERROR(VLOOKUP(Table3[[#This Row],[Name]],battle3,3,FALSE),0)</f>
        <v>0</v>
      </c>
      <c r="AD8" s="17">
        <f>IFERROR(VLOOKUP(Table3[[#This Row],[Name]],battle4,3,FALSE),0)</f>
        <v>0</v>
      </c>
      <c r="AE8" s="49">
        <f>RANK(Table3[[#This Row],[Points]],Table3[Points],0)</f>
        <v>1</v>
      </c>
      <c r="AF8" s="50"/>
      <c r="AG8" s="50"/>
      <c r="AH8" s="49">
        <f t="shared" si="2"/>
        <v>0</v>
      </c>
    </row>
    <row r="9" spans="1:34" ht="18" x14ac:dyDescent="0.25">
      <c r="A9" s="48">
        <v>5</v>
      </c>
      <c r="B9" s="51" t="s">
        <v>206</v>
      </c>
      <c r="C9" s="16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7">
        <v>0</v>
      </c>
      <c r="Q9" s="32">
        <v>0</v>
      </c>
      <c r="R9" s="31"/>
      <c r="S9" s="31"/>
      <c r="T9" s="31"/>
      <c r="U9" s="31"/>
      <c r="V9" s="32">
        <v>0</v>
      </c>
      <c r="W9" s="31"/>
      <c r="X9" s="31"/>
      <c r="Y9" s="32">
        <v>0</v>
      </c>
      <c r="Z9" s="17">
        <f>IFERROR(VLOOKUP(Table3[[#This Row],[Name]],battle1,3,FALSE),0)</f>
        <v>0</v>
      </c>
      <c r="AA9" s="17">
        <f>IFERROR(VLOOKUP(Table3[[#This Row],[Name]],battle2,3,FALSE),0)</f>
        <v>0</v>
      </c>
      <c r="AB9" s="22"/>
      <c r="AC9" s="17">
        <f>IFERROR(VLOOKUP(Table3[[#This Row],[Name]],battle3,3,FALSE),0)</f>
        <v>0</v>
      </c>
      <c r="AD9" s="17">
        <f>IFERROR(VLOOKUP(Table3[[#This Row],[Name]],battle4,3,FALSE),0)</f>
        <v>0</v>
      </c>
      <c r="AE9" s="49">
        <f>RANK(Table3[[#This Row],[Points]],Table3[Points],0)</f>
        <v>1</v>
      </c>
      <c r="AF9" s="50"/>
      <c r="AG9" s="50"/>
      <c r="AH9" s="49">
        <f t="shared" si="2"/>
        <v>0</v>
      </c>
    </row>
    <row r="10" spans="1:34" ht="18" x14ac:dyDescent="0.25">
      <c r="A10" s="48">
        <v>6</v>
      </c>
      <c r="B10" s="51" t="s">
        <v>207</v>
      </c>
      <c r="C10" s="16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7">
        <v>0</v>
      </c>
      <c r="Q10" s="32">
        <v>0</v>
      </c>
      <c r="R10" s="31"/>
      <c r="S10" s="31"/>
      <c r="T10" s="31"/>
      <c r="U10" s="31"/>
      <c r="V10" s="32">
        <v>0</v>
      </c>
      <c r="W10" s="31"/>
      <c r="X10" s="31"/>
      <c r="Y10" s="32">
        <v>0</v>
      </c>
      <c r="Z10" s="17">
        <f>IFERROR(VLOOKUP(Table3[[#This Row],[Name]],battle1,3,FALSE),0)</f>
        <v>0</v>
      </c>
      <c r="AA10" s="17">
        <f>IFERROR(VLOOKUP(Table3[[#This Row],[Name]],battle2,3,FALSE),0)</f>
        <v>0</v>
      </c>
      <c r="AB10" s="22"/>
      <c r="AC10" s="17">
        <f>IFERROR(VLOOKUP(Table3[[#This Row],[Name]],battle3,3,FALSE),0)</f>
        <v>0</v>
      </c>
      <c r="AD10" s="17">
        <f>IFERROR(VLOOKUP(Table3[[#This Row],[Name]],battle4,3,FALSE),0)</f>
        <v>0</v>
      </c>
      <c r="AE10" s="49">
        <f>RANK(Table3[[#This Row],[Points]],Table3[Points],0)</f>
        <v>1</v>
      </c>
      <c r="AF10" s="50"/>
      <c r="AG10" s="50"/>
      <c r="AH10" s="49">
        <f t="shared" si="2"/>
        <v>0</v>
      </c>
    </row>
    <row r="11" spans="1:34" ht="18" x14ac:dyDescent="0.25">
      <c r="A11" s="48">
        <v>7</v>
      </c>
      <c r="B11" s="51" t="s">
        <v>208</v>
      </c>
      <c r="C11" s="16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7">
        <v>0</v>
      </c>
      <c r="Q11" s="32">
        <v>0</v>
      </c>
      <c r="R11" s="31"/>
      <c r="S11" s="31"/>
      <c r="T11" s="31"/>
      <c r="U11" s="31"/>
      <c r="V11" s="32">
        <v>0</v>
      </c>
      <c r="W11" s="31"/>
      <c r="X11" s="31"/>
      <c r="Y11" s="32">
        <v>0</v>
      </c>
      <c r="Z11" s="17">
        <f>IFERROR(VLOOKUP(Table3[[#This Row],[Name]],battle1,3,FALSE),0)</f>
        <v>0</v>
      </c>
      <c r="AA11" s="17">
        <f>IFERROR(VLOOKUP(Table3[[#This Row],[Name]],battle2,3,FALSE),0)</f>
        <v>0</v>
      </c>
      <c r="AB11" s="22"/>
      <c r="AC11" s="17">
        <f>IFERROR(VLOOKUP(Table3[[#This Row],[Name]],battle3,3,FALSE),0)</f>
        <v>0</v>
      </c>
      <c r="AD11" s="17">
        <f>IFERROR(VLOOKUP(Table3[[#This Row],[Name]],battle4,3,FALSE),0)</f>
        <v>0</v>
      </c>
      <c r="AE11" s="49">
        <f>RANK(Table3[[#This Row],[Points]],Table3[Points],0)</f>
        <v>1</v>
      </c>
      <c r="AF11" s="50"/>
      <c r="AG11" s="50"/>
      <c r="AH11" s="49">
        <f t="shared" si="2"/>
        <v>0</v>
      </c>
    </row>
    <row r="12" spans="1:34" ht="18" x14ac:dyDescent="0.25">
      <c r="A12" s="48">
        <v>8</v>
      </c>
      <c r="B12" s="51" t="s">
        <v>205</v>
      </c>
      <c r="C12" s="16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7">
        <v>0</v>
      </c>
      <c r="Q12" s="32">
        <v>0</v>
      </c>
      <c r="R12" s="31"/>
      <c r="S12" s="31"/>
      <c r="T12" s="31"/>
      <c r="U12" s="31"/>
      <c r="V12" s="32">
        <v>0</v>
      </c>
      <c r="W12" s="31"/>
      <c r="X12" s="31"/>
      <c r="Y12" s="32">
        <v>0</v>
      </c>
      <c r="Z12" s="17">
        <f>IFERROR(VLOOKUP(Table3[[#This Row],[Name]],battle1,3,FALSE),0)</f>
        <v>0</v>
      </c>
      <c r="AA12" s="17">
        <f>IFERROR(VLOOKUP(Table3[[#This Row],[Name]],battle2,3,FALSE),0)</f>
        <v>0</v>
      </c>
      <c r="AB12" s="22"/>
      <c r="AC12" s="17">
        <f>IFERROR(VLOOKUP(Table3[[#This Row],[Name]],battle3,3,FALSE),0)</f>
        <v>0</v>
      </c>
      <c r="AD12" s="17">
        <f>IFERROR(VLOOKUP(Table3[[#This Row],[Name]],battle4,3,FALSE),0)</f>
        <v>0</v>
      </c>
      <c r="AE12" s="49">
        <f>RANK(Table3[[#This Row],[Points]],Table3[Points],0)</f>
        <v>1</v>
      </c>
      <c r="AF12" s="50"/>
      <c r="AG12" s="50"/>
      <c r="AH12" s="49">
        <f t="shared" si="2"/>
        <v>0</v>
      </c>
    </row>
    <row r="13" spans="1:34" ht="18" x14ac:dyDescent="0.25">
      <c r="A13" s="48">
        <v>9</v>
      </c>
      <c r="B13" s="51" t="s">
        <v>211</v>
      </c>
      <c r="C13" s="16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7">
        <v>0</v>
      </c>
      <c r="Q13" s="32">
        <v>0</v>
      </c>
      <c r="R13" s="31"/>
      <c r="S13" s="31"/>
      <c r="T13" s="31"/>
      <c r="U13" s="31"/>
      <c r="V13" s="32">
        <v>0</v>
      </c>
      <c r="W13" s="31"/>
      <c r="X13" s="31"/>
      <c r="Y13" s="32">
        <v>0</v>
      </c>
      <c r="Z13" s="17">
        <f>IFERROR(VLOOKUP(Table3[[#This Row],[Name]],battle1,3,FALSE),0)</f>
        <v>0</v>
      </c>
      <c r="AA13" s="17">
        <f>IFERROR(VLOOKUP(Table3[[#This Row],[Name]],battle2,3,FALSE),0)</f>
        <v>0</v>
      </c>
      <c r="AB13" s="22"/>
      <c r="AC13" s="17">
        <f>IFERROR(VLOOKUP(Table3[[#This Row],[Name]],battle3,3,FALSE),0)</f>
        <v>0</v>
      </c>
      <c r="AD13" s="17">
        <f>IFERROR(VLOOKUP(Table3[[#This Row],[Name]],battle4,3,FALSE),0)</f>
        <v>0</v>
      </c>
      <c r="AE13" s="49">
        <f>RANK(Table3[[#This Row],[Points]],Table3[Points],0)</f>
        <v>1</v>
      </c>
      <c r="AF13" s="50"/>
      <c r="AG13" s="50"/>
      <c r="AH13" s="49">
        <f t="shared" si="2"/>
        <v>0</v>
      </c>
    </row>
    <row r="14" spans="1:34" ht="18" x14ac:dyDescent="0.25">
      <c r="A14" s="48">
        <v>10</v>
      </c>
      <c r="B14" s="51" t="s">
        <v>210</v>
      </c>
      <c r="C14" s="16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7">
        <v>0</v>
      </c>
      <c r="Q14" s="32">
        <v>0</v>
      </c>
      <c r="R14" s="31"/>
      <c r="S14" s="31"/>
      <c r="T14" s="31"/>
      <c r="U14" s="31"/>
      <c r="V14" s="32">
        <v>0</v>
      </c>
      <c r="W14" s="31"/>
      <c r="X14" s="31"/>
      <c r="Y14" s="32">
        <v>0</v>
      </c>
      <c r="Z14" s="17">
        <f>IFERROR(VLOOKUP(Table3[[#This Row],[Name]],battle1,3,FALSE),0)</f>
        <v>0</v>
      </c>
      <c r="AA14" s="17">
        <f>IFERROR(VLOOKUP(Table3[[#This Row],[Name]],battle2,3,FALSE),0)</f>
        <v>0</v>
      </c>
      <c r="AB14" s="22"/>
      <c r="AC14" s="17">
        <f>IFERROR(VLOOKUP(Table3[[#This Row],[Name]],battle3,3,FALSE),0)</f>
        <v>0</v>
      </c>
      <c r="AD14" s="17">
        <f>IFERROR(VLOOKUP(Table3[[#This Row],[Name]],battle4,3,FALSE),0)</f>
        <v>0</v>
      </c>
      <c r="AE14" s="49">
        <f>RANK(Table3[[#This Row],[Points]],Table3[Points],0)</f>
        <v>1</v>
      </c>
      <c r="AF14" s="50"/>
      <c r="AG14" s="50"/>
      <c r="AH14" s="49">
        <f t="shared" si="2"/>
        <v>0</v>
      </c>
    </row>
    <row r="17" spans="1:34" x14ac:dyDescent="0.2">
      <c r="A17" s="38" t="s">
        <v>24</v>
      </c>
    </row>
    <row r="20" spans="1:34" x14ac:dyDescent="0.2">
      <c r="C20" s="1"/>
    </row>
    <row r="21" spans="1:34" x14ac:dyDescent="0.2">
      <c r="B21" s="1"/>
      <c r="C21" s="9"/>
      <c r="D21" s="10"/>
    </row>
    <row r="22" spans="1:34" x14ac:dyDescent="0.2">
      <c r="B22" s="1"/>
      <c r="C22" s="11"/>
    </row>
    <row r="27" spans="1:34" x14ac:dyDescent="0.2">
      <c r="A27" s="35"/>
      <c r="B27" s="33"/>
      <c r="C27" s="33"/>
      <c r="D27" s="33"/>
      <c r="E27" s="33"/>
      <c r="F27" s="33"/>
      <c r="G27" s="33"/>
      <c r="H27" s="33"/>
      <c r="I27" s="33"/>
      <c r="J27" s="33"/>
      <c r="K27" s="33"/>
      <c r="AH27" s="11"/>
    </row>
    <row r="28" spans="1:34" x14ac:dyDescent="0.2">
      <c r="A28"/>
      <c r="B28" s="33"/>
      <c r="C28" s="33"/>
      <c r="D28" s="33"/>
      <c r="E28" s="33"/>
      <c r="F28" s="33"/>
      <c r="G28" s="33"/>
      <c r="H28" s="33"/>
      <c r="I28" s="33"/>
      <c r="J28" s="33"/>
      <c r="K28" s="33"/>
    </row>
    <row r="29" spans="1:34" x14ac:dyDescent="0.2">
      <c r="A29" s="33"/>
      <c r="B29" s="34"/>
      <c r="C29" s="33"/>
      <c r="D29" s="33"/>
      <c r="E29" s="33"/>
      <c r="F29" s="33"/>
      <c r="G29" s="33"/>
      <c r="H29" s="33"/>
      <c r="I29" s="33"/>
      <c r="J29" s="33"/>
      <c r="K29" s="33"/>
    </row>
    <row r="30" spans="1:34" x14ac:dyDescent="0.2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</row>
    <row r="31" spans="1:34" x14ac:dyDescent="0.2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</row>
    <row r="32" spans="1:34" x14ac:dyDescent="0.2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</row>
    <row r="33" spans="1:11" x14ac:dyDescent="0.2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</row>
    <row r="34" spans="1:11" x14ac:dyDescent="0.2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</row>
    <row r="35" spans="1:11" x14ac:dyDescent="0.2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</row>
    <row r="36" spans="1:11" x14ac:dyDescent="0.2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</row>
    <row r="37" spans="1:11" x14ac:dyDescent="0.2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</row>
    <row r="38" spans="1:11" x14ac:dyDescent="0.2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</row>
    <row r="39" spans="1:11" x14ac:dyDescent="0.2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</row>
    <row r="40" spans="1:11" x14ac:dyDescent="0.2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</row>
    <row r="41" spans="1:11" x14ac:dyDescent="0.2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</row>
    <row r="42" spans="1:11" x14ac:dyDescent="0.2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</row>
    <row r="43" spans="1:11" x14ac:dyDescent="0.2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</row>
  </sheetData>
  <mergeCells count="5">
    <mergeCell ref="A2:C3"/>
    <mergeCell ref="D2:Y2"/>
    <mergeCell ref="Z3:AA3"/>
    <mergeCell ref="AC3:AD3"/>
    <mergeCell ref="Z2:AD2"/>
  </mergeCells>
  <conditionalFormatting sqref="D3:Y3">
    <cfRule type="expression" dxfId="131" priority="22">
      <formula>VLOOKUP(D4,Prizes,5, FALSE)="Y"</formula>
    </cfRule>
  </conditionalFormatting>
  <conditionalFormatting sqref="D5:D14">
    <cfRule type="top10" dxfId="130" priority="20" bottom="1" rank="1"/>
  </conditionalFormatting>
  <conditionalFormatting sqref="E5:E14">
    <cfRule type="top10" dxfId="129" priority="17" bottom="1" rank="1"/>
  </conditionalFormatting>
  <conditionalFormatting sqref="G5:G14 H12">
    <cfRule type="top10" dxfId="128" priority="16" bottom="1" rank="1"/>
  </conditionalFormatting>
  <conditionalFormatting sqref="H5:H11 H13:H14">
    <cfRule type="top10" dxfId="127" priority="15" bottom="1" rank="1"/>
  </conditionalFormatting>
  <conditionalFormatting sqref="K5:K14">
    <cfRule type="top10" dxfId="126" priority="14" bottom="1" rank="1"/>
  </conditionalFormatting>
  <conditionalFormatting sqref="L5:L14">
    <cfRule type="top10" dxfId="125" priority="13" bottom="1" rank="1"/>
  </conditionalFormatting>
  <conditionalFormatting sqref="M5:M14">
    <cfRule type="top10" dxfId="124" priority="12" bottom="1" rank="1"/>
  </conditionalFormatting>
  <conditionalFormatting sqref="O5:O14">
    <cfRule type="top10" dxfId="123" priority="11" bottom="1" rank="1"/>
  </conditionalFormatting>
  <conditionalFormatting sqref="Y5:Y14">
    <cfRule type="cellIs" dxfId="122" priority="1" operator="lessThan">
      <formula>0</formula>
    </cfRule>
    <cfRule type="cellIs" dxfId="121" priority="2" operator="greaterThan">
      <formula>0</formula>
    </cfRule>
  </conditionalFormatting>
  <conditionalFormatting sqref="P5:Q14">
    <cfRule type="cellIs" dxfId="120" priority="7" operator="greaterThan">
      <formula>0</formula>
    </cfRule>
  </conditionalFormatting>
  <dataValidations count="3">
    <dataValidation type="whole" showErrorMessage="1" errorTitle="Invalid number" error="Enter a value between 0 and 100" sqref="P5:P14">
      <formula1>0</formula1>
      <formula2>100</formula2>
    </dataValidation>
    <dataValidation type="whole" showErrorMessage="1" errorTitle="Invalid number" error="Enter a number between 0 and 100" sqref="Q5:Q14 V5:V14">
      <formula1>0</formula1>
      <formula2>100</formula2>
    </dataValidation>
    <dataValidation type="whole" showInputMessage="1" showErrorMessage="1" errorTitle="Invalid number" error="Enter a number between 0 and 100" sqref="Y5:Y14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24</xdr:col>
                    <xdr:colOff>323850</xdr:colOff>
                    <xdr:row>17</xdr:row>
                    <xdr:rowOff>161925</xdr:rowOff>
                  </from>
                  <to>
                    <xdr:col>27</xdr:col>
                    <xdr:colOff>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28</xdr:col>
                    <xdr:colOff>9525</xdr:colOff>
                    <xdr:row>18</xdr:row>
                    <xdr:rowOff>9525</xdr:rowOff>
                  </from>
                  <to>
                    <xdr:col>29</xdr:col>
                    <xdr:colOff>695325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3_Click">
                <anchor moveWithCells="1" sizeWithCells="1">
                  <from>
                    <xdr:col>25</xdr:col>
                    <xdr:colOff>9525</xdr:colOff>
                    <xdr:row>15</xdr:row>
                    <xdr:rowOff>142875</xdr:rowOff>
                  </from>
                  <to>
                    <xdr:col>30</xdr:col>
                    <xdr:colOff>9525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toreRank">
                <anchor moveWithCells="1" sizeWithCells="1">
                  <from>
                    <xdr:col>27</xdr:col>
                    <xdr:colOff>0</xdr:colOff>
                    <xdr:row>17</xdr:row>
                    <xdr:rowOff>152400</xdr:rowOff>
                  </from>
                  <to>
                    <xdr:col>27</xdr:col>
                    <xdr:colOff>1190625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C3CE27E8-0E6A-46C6-AD91-EACC61230FA9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AG5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time" allowBlank="1" showErrorMessage="1" errorTitle="Invalid time" error="Enter a valid time">
          <x14:formula1>
            <xm:f>Parameters!M4</xm:f>
          </x14:formula1>
          <x14:formula2>
            <xm:f>Parameters!M5</xm:f>
          </x14:formula2>
          <xm:sqref>D5:O14</xm:sqref>
        </x14:dataValidation>
        <x14:dataValidation type="time" allowBlank="1" showErrorMessage="1" errorTitle="Invalid time" error="Enter a valid time">
          <x14:formula1>
            <xm:f>Parameters!M4</xm:f>
          </x14:formula1>
          <x14:formula2>
            <xm:f>Parameters!M5</xm:f>
          </x14:formula2>
          <xm:sqref>R5:U14</xm:sqref>
        </x14:dataValidation>
        <x14:dataValidation type="time" allowBlank="1" showErrorMessage="1" errorTitle="Invalid time" error="Enter a valid time">
          <x14:formula1>
            <xm:f>Parameters!M4</xm:f>
          </x14:formula1>
          <x14:formula2>
            <xm:f>Parameters!M5</xm:f>
          </x14:formula2>
          <xm:sqref>W5:X14</xm:sqref>
        </x14:dataValidation>
        <x14:dataValidation type="time" showErrorMessage="1" errorTitle="Invalid time" error="Enter a valid time">
          <x14:formula1>
            <xm:f>Parameters!M4</xm:f>
          </x14:formula1>
          <x14:formula2>
            <xm:f>Parameters!M5</xm:f>
          </x14:formula2>
          <xm:sqref>Z3:AA3</xm:sqref>
        </x14:dataValidation>
        <x14:dataValidation type="time" showErrorMessage="1" errorTitle="Invalid time" error="Enter a valid time">
          <x14:formula1>
            <xm:f>Parameters!M4</xm:f>
          </x14:formula1>
          <x14:formula2>
            <xm:f>Parameters!M5</xm:f>
          </x14:formula2>
          <xm:sqref>AC3:AD3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6"/>
  <sheetViews>
    <sheetView workbookViewId="0"/>
  </sheetViews>
  <sheetFormatPr defaultColWidth="9.140625" defaultRowHeight="12.75" x14ac:dyDescent="0.2"/>
  <cols>
    <col min="1" max="1" width="17.140625" customWidth="1"/>
    <col min="2" max="2" width="11.42578125" style="7" bestFit="1" customWidth="1"/>
    <col min="3" max="3" width="6" style="7" bestFit="1" customWidth="1"/>
    <col min="4" max="4" width="9.140625" style="7"/>
    <col min="5" max="5" width="57.140625" style="7" customWidth="1"/>
    <col min="6" max="6" width="11.42578125" style="7" customWidth="1"/>
    <col min="7" max="7" width="7.42578125" style="7" bestFit="1" customWidth="1"/>
    <col min="8" max="8" width="12.7109375" style="7" bestFit="1" customWidth="1"/>
    <col min="9" max="9" width="12.5703125" style="7" bestFit="1" customWidth="1"/>
    <col min="10" max="10" width="10.85546875" style="7" bestFit="1" customWidth="1"/>
    <col min="11" max="11" width="14.28515625" style="7" bestFit="1" customWidth="1"/>
    <col min="12" max="12" width="9.5703125" style="7" bestFit="1" customWidth="1"/>
    <col min="13" max="13" width="4.42578125" style="7" bestFit="1" customWidth="1"/>
    <col min="14" max="14" width="4.85546875" style="7" bestFit="1" customWidth="1"/>
    <col min="15" max="15" width="4.5703125" style="7" bestFit="1" customWidth="1"/>
    <col min="16" max="16" width="6.140625" style="7" customWidth="1"/>
    <col min="17" max="19" width="8.85546875" customWidth="1"/>
    <col min="20" max="16384" width="9.140625" style="7"/>
  </cols>
  <sheetData>
    <row r="1" spans="1:19" s="28" customFormat="1" ht="15" x14ac:dyDescent="0.2">
      <c r="A1" s="43"/>
      <c r="D1" s="62" t="s">
        <v>106</v>
      </c>
      <c r="E1" s="63"/>
      <c r="F1" s="63"/>
      <c r="G1" s="63"/>
      <c r="H1" s="63"/>
      <c r="I1" s="63"/>
      <c r="J1" s="63"/>
      <c r="K1" s="63"/>
      <c r="L1" s="63"/>
      <c r="M1" s="63"/>
      <c r="N1" s="63"/>
      <c r="O1" s="64"/>
      <c r="Q1" s="43"/>
      <c r="R1" s="43"/>
      <c r="S1" s="43"/>
    </row>
    <row r="2" spans="1:19" s="28" customFormat="1" ht="10.5" x14ac:dyDescent="0.2">
      <c r="A2" s="39" t="s">
        <v>101</v>
      </c>
      <c r="B2" s="47" t="s">
        <v>104</v>
      </c>
      <c r="C2" s="47" t="s">
        <v>102</v>
      </c>
      <c r="D2" s="28" t="s">
        <v>89</v>
      </c>
      <c r="E2" s="28" t="s">
        <v>90</v>
      </c>
      <c r="F2" s="27" t="s">
        <v>91</v>
      </c>
      <c r="G2" s="27" t="s">
        <v>92</v>
      </c>
      <c r="H2" s="27" t="s">
        <v>93</v>
      </c>
      <c r="I2" s="27" t="s">
        <v>94</v>
      </c>
      <c r="J2" s="27" t="s">
        <v>95</v>
      </c>
      <c r="K2" s="27" t="s">
        <v>96</v>
      </c>
      <c r="L2" s="27" t="s">
        <v>97</v>
      </c>
      <c r="M2" s="27" t="s">
        <v>98</v>
      </c>
      <c r="N2" s="27" t="s">
        <v>99</v>
      </c>
      <c r="O2" s="27" t="s">
        <v>100</v>
      </c>
    </row>
    <row r="3" spans="1:19" s="28" customFormat="1" x14ac:dyDescent="0.2">
      <c r="A3" s="39" t="str">
        <f t="shared" ref="A3:A12" si="0">SUBSTITUTE(TRIM(RIGHT(SUBSTITUTE(E3,".",REPT(" ",LEN(E3))),LEN(E3))),"*","")</f>
        <v>Panzr</v>
      </c>
      <c r="B3" s="40">
        <f t="shared" ref="B3:B12" si="1">INT(SUBSTITUTE(SUBSTITUTE(SUBSTITUTE(SUBSTITUTE(D3,"st",""),"nd",""),"rd",""),"th",""))</f>
        <v>1</v>
      </c>
      <c r="C3" s="41">
        <f>IFERROR(VLOOKUP(Table4[[#This Row],[fixedposition]],BattlePosition,2,FALSE),0)</f>
        <v>30</v>
      </c>
      <c r="D3" s="42" t="s">
        <v>120</v>
      </c>
      <c r="E3" s="42" t="s">
        <v>159</v>
      </c>
      <c r="F3" s="42" t="s">
        <v>139</v>
      </c>
      <c r="G3" s="42">
        <v>3550</v>
      </c>
      <c r="H3" s="42">
        <v>360</v>
      </c>
      <c r="I3" s="42">
        <v>2769</v>
      </c>
      <c r="J3" s="42">
        <v>345</v>
      </c>
      <c r="K3" s="42">
        <v>70</v>
      </c>
      <c r="L3" s="42">
        <v>0</v>
      </c>
      <c r="M3" s="42">
        <v>4</v>
      </c>
      <c r="N3" s="42">
        <v>1</v>
      </c>
      <c r="O3" s="42">
        <v>2</v>
      </c>
    </row>
    <row r="4" spans="1:19" s="28" customFormat="1" x14ac:dyDescent="0.2">
      <c r="A4" s="39" t="str">
        <f t="shared" si="0"/>
        <v>TheDestroyers</v>
      </c>
      <c r="B4" s="40">
        <f t="shared" si="1"/>
        <v>2</v>
      </c>
      <c r="C4" s="41">
        <f>IFERROR(VLOOKUP(Table4[[#This Row],[fixedposition]],BattlePosition,2,FALSE),0)</f>
        <v>20</v>
      </c>
      <c r="D4" s="42" t="s">
        <v>122</v>
      </c>
      <c r="E4" s="42" t="s">
        <v>115</v>
      </c>
      <c r="F4" s="42" t="s">
        <v>140</v>
      </c>
      <c r="G4" s="42">
        <v>2900</v>
      </c>
      <c r="H4" s="42">
        <v>180</v>
      </c>
      <c r="I4" s="42">
        <v>2319</v>
      </c>
      <c r="J4" s="42">
        <v>220</v>
      </c>
      <c r="K4" s="42">
        <v>16</v>
      </c>
      <c r="L4" s="42">
        <v>27</v>
      </c>
      <c r="M4" s="42">
        <v>2</v>
      </c>
      <c r="N4" s="42">
        <v>0</v>
      </c>
      <c r="O4" s="42">
        <v>2</v>
      </c>
    </row>
    <row r="5" spans="1:19" s="28" customFormat="1" x14ac:dyDescent="0.2">
      <c r="A5" s="39" t="str">
        <f t="shared" si="0"/>
        <v>FastFive</v>
      </c>
      <c r="B5" s="40">
        <f t="shared" si="1"/>
        <v>3</v>
      </c>
      <c r="C5" s="41">
        <f>IFERROR(VLOOKUP(Table4[[#This Row],[fixedposition]],BattlePosition,2,FALSE),0)</f>
        <v>15</v>
      </c>
      <c r="D5" s="42" t="s">
        <v>124</v>
      </c>
      <c r="E5" s="42" t="s">
        <v>116</v>
      </c>
      <c r="F5" s="42" t="s">
        <v>141</v>
      </c>
      <c r="G5" s="42">
        <v>2650</v>
      </c>
      <c r="H5" s="42">
        <v>180</v>
      </c>
      <c r="I5" s="42">
        <v>759</v>
      </c>
      <c r="J5" s="42">
        <v>24</v>
      </c>
      <c r="K5" s="42">
        <v>47</v>
      </c>
      <c r="L5" s="42">
        <v>0</v>
      </c>
      <c r="M5" s="42">
        <v>2</v>
      </c>
      <c r="N5" s="42">
        <v>1</v>
      </c>
      <c r="O5" s="42">
        <v>2</v>
      </c>
    </row>
    <row r="6" spans="1:19" s="28" customFormat="1" x14ac:dyDescent="0.2">
      <c r="A6" s="39" t="str">
        <f t="shared" si="0"/>
        <v>EclipseTheRest</v>
      </c>
      <c r="B6" s="40">
        <f t="shared" si="1"/>
        <v>4</v>
      </c>
      <c r="C6" s="41">
        <f>IFERROR(VLOOKUP(Table4[[#This Row],[fixedposition]],BattlePosition,2,FALSE),0)</f>
        <v>10</v>
      </c>
      <c r="D6" s="42" t="s">
        <v>126</v>
      </c>
      <c r="E6" s="42" t="s">
        <v>114</v>
      </c>
      <c r="F6" s="42" t="s">
        <v>142</v>
      </c>
      <c r="G6" s="42">
        <v>1750</v>
      </c>
      <c r="H6" s="42">
        <v>0</v>
      </c>
      <c r="I6" s="42">
        <v>1003</v>
      </c>
      <c r="J6" s="42">
        <v>53</v>
      </c>
      <c r="K6" s="42">
        <v>431</v>
      </c>
      <c r="L6" s="42">
        <v>18</v>
      </c>
      <c r="M6" s="42">
        <v>0</v>
      </c>
      <c r="N6" s="42">
        <v>0</v>
      </c>
      <c r="O6" s="42">
        <v>1</v>
      </c>
    </row>
    <row r="7" spans="1:19" s="28" customFormat="1" x14ac:dyDescent="0.2">
      <c r="A7" s="39" t="str">
        <f t="shared" si="0"/>
        <v>Fiasco</v>
      </c>
      <c r="B7" s="40">
        <f t="shared" si="1"/>
        <v>5</v>
      </c>
      <c r="C7" s="41">
        <f>IFERROR(VLOOKUP(Table4[[#This Row],[fixedposition]],BattlePosition,2,FALSE),0)</f>
        <v>7</v>
      </c>
      <c r="D7" s="42" t="s">
        <v>128</v>
      </c>
      <c r="E7" s="42" t="s">
        <v>117</v>
      </c>
      <c r="F7" s="42" t="s">
        <v>143</v>
      </c>
      <c r="G7" s="42">
        <v>2400</v>
      </c>
      <c r="H7" s="42">
        <v>0</v>
      </c>
      <c r="I7" s="42">
        <v>787</v>
      </c>
      <c r="J7" s="42">
        <v>20</v>
      </c>
      <c r="K7" s="42">
        <v>29</v>
      </c>
      <c r="L7" s="42">
        <v>0</v>
      </c>
      <c r="M7" s="42">
        <v>0</v>
      </c>
      <c r="N7" s="42">
        <v>2</v>
      </c>
      <c r="O7" s="42">
        <v>1</v>
      </c>
    </row>
    <row r="8" spans="1:19" s="28" customFormat="1" x14ac:dyDescent="0.2">
      <c r="A8" s="39" t="str">
        <f t="shared" si="0"/>
        <v>HatefulEight</v>
      </c>
      <c r="B8" s="40">
        <f t="shared" si="1"/>
        <v>6</v>
      </c>
      <c r="C8" s="41">
        <f>IFERROR(VLOOKUP(Table4[[#This Row],[fixedposition]],BattlePosition,2,FALSE),0)</f>
        <v>5</v>
      </c>
      <c r="D8" s="42" t="s">
        <v>130</v>
      </c>
      <c r="E8" s="42" t="s">
        <v>112</v>
      </c>
      <c r="F8" s="42" t="s">
        <v>144</v>
      </c>
      <c r="G8" s="42">
        <v>1950</v>
      </c>
      <c r="H8" s="42">
        <v>0</v>
      </c>
      <c r="I8" s="42">
        <v>963</v>
      </c>
      <c r="J8" s="42">
        <v>69</v>
      </c>
      <c r="K8" s="42">
        <v>91</v>
      </c>
      <c r="L8" s="42">
        <v>0</v>
      </c>
      <c r="M8" s="42">
        <v>0</v>
      </c>
      <c r="N8" s="42">
        <v>1</v>
      </c>
      <c r="O8" s="42">
        <v>1</v>
      </c>
    </row>
    <row r="9" spans="1:19" s="28" customFormat="1" x14ac:dyDescent="0.2">
      <c r="A9" s="39" t="str">
        <f t="shared" si="0"/>
        <v>Divergent</v>
      </c>
      <c r="B9" s="40">
        <f t="shared" si="1"/>
        <v>7</v>
      </c>
      <c r="C9" s="41">
        <f>IFERROR(VLOOKUP(Table4[[#This Row],[fixedposition]],BattlePosition,2,FALSE),0)</f>
        <v>4</v>
      </c>
      <c r="D9" s="42" t="s">
        <v>132</v>
      </c>
      <c r="E9" s="42" t="s">
        <v>119</v>
      </c>
      <c r="F9" s="42" t="s">
        <v>145</v>
      </c>
      <c r="G9" s="42">
        <v>2250</v>
      </c>
      <c r="H9" s="42">
        <v>90</v>
      </c>
      <c r="I9" s="42">
        <v>577</v>
      </c>
      <c r="J9" s="42">
        <v>6</v>
      </c>
      <c r="K9" s="42">
        <v>80</v>
      </c>
      <c r="L9" s="42">
        <v>0</v>
      </c>
      <c r="M9" s="42">
        <v>1</v>
      </c>
      <c r="N9" s="42">
        <v>2</v>
      </c>
      <c r="O9" s="42">
        <v>1</v>
      </c>
    </row>
    <row r="10" spans="1:19" s="28" customFormat="1" x14ac:dyDescent="0.2">
      <c r="A10" s="39" t="str">
        <f t="shared" si="0"/>
        <v>NeinNeinNein</v>
      </c>
      <c r="B10" s="40">
        <f t="shared" si="1"/>
        <v>8</v>
      </c>
      <c r="C10" s="41">
        <f>IFERROR(VLOOKUP(Table4[[#This Row],[fixedposition]],BattlePosition,2,FALSE),0)</f>
        <v>3</v>
      </c>
      <c r="D10" s="42" t="s">
        <v>134</v>
      </c>
      <c r="E10" s="42" t="s">
        <v>118</v>
      </c>
      <c r="F10" s="42" t="s">
        <v>146</v>
      </c>
      <c r="G10" s="42">
        <v>1500</v>
      </c>
      <c r="H10" s="42">
        <v>90</v>
      </c>
      <c r="I10" s="42">
        <v>840</v>
      </c>
      <c r="J10" s="42">
        <v>79</v>
      </c>
      <c r="K10" s="42">
        <v>40</v>
      </c>
      <c r="L10" s="42">
        <v>0</v>
      </c>
      <c r="M10" s="42">
        <v>1</v>
      </c>
      <c r="N10" s="42">
        <v>1</v>
      </c>
      <c r="O10" s="42">
        <v>0</v>
      </c>
    </row>
    <row r="11" spans="1:19" s="28" customFormat="1" x14ac:dyDescent="0.2">
      <c r="A11" s="39" t="str">
        <f t="shared" si="0"/>
        <v>Tankops</v>
      </c>
      <c r="B11" s="40">
        <f t="shared" si="1"/>
        <v>9</v>
      </c>
      <c r="C11" s="41">
        <f>IFERROR(VLOOKUP(Table4[[#This Row],[fixedposition]],BattlePosition,2,FALSE),0)</f>
        <v>2</v>
      </c>
      <c r="D11" s="42" t="s">
        <v>136</v>
      </c>
      <c r="E11" s="42" t="s">
        <v>113</v>
      </c>
      <c r="F11" s="42" t="s">
        <v>147</v>
      </c>
      <c r="G11" s="42">
        <v>1450</v>
      </c>
      <c r="H11" s="42">
        <v>0</v>
      </c>
      <c r="I11" s="42">
        <v>902</v>
      </c>
      <c r="J11" s="42">
        <v>50</v>
      </c>
      <c r="K11" s="42">
        <v>66</v>
      </c>
      <c r="L11" s="42">
        <v>0</v>
      </c>
      <c r="M11" s="42">
        <v>0</v>
      </c>
      <c r="N11" s="42">
        <v>0</v>
      </c>
      <c r="O11" s="42">
        <v>0</v>
      </c>
    </row>
    <row r="12" spans="1:19" s="28" customFormat="1" x14ac:dyDescent="0.2">
      <c r="A12" s="39" t="str">
        <f t="shared" si="0"/>
        <v>TeamWally</v>
      </c>
      <c r="B12" s="40">
        <f t="shared" si="1"/>
        <v>10</v>
      </c>
      <c r="C12" s="41">
        <f>IFERROR(VLOOKUP(Table4[[#This Row],[fixedposition]],BattlePosition,2,FALSE),0)</f>
        <v>1</v>
      </c>
      <c r="D12" s="42" t="s">
        <v>138</v>
      </c>
      <c r="E12" s="42" t="s">
        <v>111</v>
      </c>
      <c r="F12" s="42" t="s">
        <v>148</v>
      </c>
      <c r="G12" s="42">
        <v>2100</v>
      </c>
      <c r="H12" s="42">
        <v>0</v>
      </c>
      <c r="I12" s="42">
        <v>303</v>
      </c>
      <c r="J12" s="42">
        <v>12</v>
      </c>
      <c r="K12" s="42">
        <v>12</v>
      </c>
      <c r="L12" s="42">
        <v>0</v>
      </c>
      <c r="M12" s="42">
        <v>0</v>
      </c>
      <c r="N12" s="42">
        <v>2</v>
      </c>
      <c r="O12" s="42">
        <v>0</v>
      </c>
    </row>
    <row r="26" spans="6:6" x14ac:dyDescent="0.2">
      <c r="F26" s="36"/>
    </row>
  </sheetData>
  <mergeCells count="1">
    <mergeCell ref="D1:O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2"/>
  <sheetViews>
    <sheetView workbookViewId="0">
      <selection activeCell="B18" sqref="B18"/>
    </sheetView>
  </sheetViews>
  <sheetFormatPr defaultRowHeight="12.75" x14ac:dyDescent="0.2"/>
  <cols>
    <col min="1" max="1" width="17.140625" customWidth="1"/>
    <col min="2" max="2" width="11.42578125" bestFit="1" customWidth="1"/>
    <col min="3" max="3" width="6" bestFit="1" customWidth="1"/>
    <col min="5" max="5" width="57.140625" customWidth="1"/>
    <col min="6" max="6" width="11.42578125" customWidth="1"/>
    <col min="7" max="7" width="7.42578125" bestFit="1" customWidth="1"/>
    <col min="8" max="8" width="12.7109375" bestFit="1" customWidth="1"/>
    <col min="9" max="9" width="12.5703125" bestFit="1" customWidth="1"/>
    <col min="10" max="10" width="10.85546875" bestFit="1" customWidth="1"/>
    <col min="11" max="11" width="14.28515625" bestFit="1" customWidth="1"/>
    <col min="12" max="12" width="9.5703125" bestFit="1" customWidth="1"/>
    <col min="13" max="13" width="4.42578125" bestFit="1" customWidth="1"/>
    <col min="14" max="14" width="4.85546875" bestFit="1" customWidth="1"/>
    <col min="15" max="15" width="4.5703125" bestFit="1" customWidth="1"/>
  </cols>
  <sheetData>
    <row r="1" spans="1:15" s="43" customFormat="1" ht="15" x14ac:dyDescent="0.2">
      <c r="B1" s="28"/>
      <c r="C1" s="28"/>
      <c r="D1" s="62" t="s">
        <v>105</v>
      </c>
      <c r="E1" s="63"/>
      <c r="F1" s="63"/>
      <c r="G1" s="63"/>
      <c r="H1" s="63"/>
      <c r="I1" s="63"/>
      <c r="J1" s="63"/>
      <c r="K1" s="63"/>
      <c r="L1" s="63"/>
      <c r="M1" s="63"/>
      <c r="N1" s="63"/>
      <c r="O1" s="64"/>
    </row>
    <row r="2" spans="1:15" s="43" customFormat="1" x14ac:dyDescent="0.2">
      <c r="A2" s="39" t="s">
        <v>101</v>
      </c>
      <c r="B2" s="47" t="s">
        <v>104</v>
      </c>
      <c r="C2" s="47" t="s">
        <v>102</v>
      </c>
      <c r="D2" s="28" t="s">
        <v>89</v>
      </c>
      <c r="E2" s="28" t="s">
        <v>90</v>
      </c>
      <c r="F2" s="27" t="s">
        <v>91</v>
      </c>
      <c r="G2" s="27" t="s">
        <v>92</v>
      </c>
      <c r="H2" s="27" t="s">
        <v>93</v>
      </c>
      <c r="I2" s="27" t="s">
        <v>94</v>
      </c>
      <c r="J2" s="27" t="s">
        <v>95</v>
      </c>
      <c r="K2" s="27" t="s">
        <v>96</v>
      </c>
      <c r="L2" s="27" t="s">
        <v>97</v>
      </c>
      <c r="M2" s="27" t="s">
        <v>98</v>
      </c>
      <c r="N2" s="27" t="s">
        <v>99</v>
      </c>
      <c r="O2" s="27" t="s">
        <v>100</v>
      </c>
    </row>
    <row r="3" spans="1:15" s="43" customFormat="1" x14ac:dyDescent="0.2">
      <c r="A3" s="39" t="str">
        <f t="shared" ref="A3:A12" si="0">SUBSTITUTE(TRIM(RIGHT(SUBSTITUTE(E3,".",REPT(" ",LEN(E3))),LEN(E3))),"*","")</f>
        <v>Panzr</v>
      </c>
      <c r="B3" s="40">
        <f t="shared" ref="B3:B12" si="1">INT(SUBSTITUTE(SUBSTITUTE(SUBSTITUTE(SUBSTITUTE(D3,"st",""),"nd",""),"rd",""),"th",""))</f>
        <v>1</v>
      </c>
      <c r="C3" s="41">
        <f>IFERROR(VLOOKUP(Table416[[#This Row],[fixedposition]],BattlePosition,2,FALSE),0)</f>
        <v>30</v>
      </c>
      <c r="D3" s="42" t="s">
        <v>120</v>
      </c>
      <c r="E3" s="42" t="s">
        <v>159</v>
      </c>
      <c r="F3" s="42" t="s">
        <v>149</v>
      </c>
      <c r="G3" s="42">
        <v>3500</v>
      </c>
      <c r="H3" s="42">
        <v>270</v>
      </c>
      <c r="I3" s="42">
        <v>2600</v>
      </c>
      <c r="J3" s="42">
        <v>274</v>
      </c>
      <c r="K3" s="42">
        <v>77</v>
      </c>
      <c r="L3" s="42">
        <v>0</v>
      </c>
      <c r="M3" s="42">
        <v>3</v>
      </c>
      <c r="N3" s="42">
        <v>2</v>
      </c>
      <c r="O3" s="42">
        <v>2</v>
      </c>
    </row>
    <row r="4" spans="1:15" s="43" customFormat="1" x14ac:dyDescent="0.2">
      <c r="A4" s="39" t="str">
        <f t="shared" si="0"/>
        <v>Tankops</v>
      </c>
      <c r="B4" s="40">
        <f t="shared" si="1"/>
        <v>2</v>
      </c>
      <c r="C4" s="41">
        <f>IFERROR(VLOOKUP(Table416[[#This Row],[fixedposition]],BattlePosition,2,FALSE),0)</f>
        <v>20</v>
      </c>
      <c r="D4" s="42" t="s">
        <v>122</v>
      </c>
      <c r="E4" s="42" t="s">
        <v>113</v>
      </c>
      <c r="F4" s="42" t="s">
        <v>150</v>
      </c>
      <c r="G4" s="42">
        <v>2600</v>
      </c>
      <c r="H4" s="42">
        <v>90</v>
      </c>
      <c r="I4" s="42">
        <v>1956</v>
      </c>
      <c r="J4" s="42">
        <v>232</v>
      </c>
      <c r="K4" s="42">
        <v>186</v>
      </c>
      <c r="L4" s="42">
        <v>69</v>
      </c>
      <c r="M4" s="42">
        <v>1</v>
      </c>
      <c r="N4" s="42">
        <v>3</v>
      </c>
      <c r="O4" s="42">
        <v>1</v>
      </c>
    </row>
    <row r="5" spans="1:15" s="43" customFormat="1" x14ac:dyDescent="0.2">
      <c r="A5" s="39" t="str">
        <f t="shared" si="0"/>
        <v>HatefulEight</v>
      </c>
      <c r="B5" s="40">
        <f t="shared" si="1"/>
        <v>3</v>
      </c>
      <c r="C5" s="41">
        <f>IFERROR(VLOOKUP(Table416[[#This Row],[fixedposition]],BattlePosition,2,FALSE),0)</f>
        <v>15</v>
      </c>
      <c r="D5" s="42" t="s">
        <v>124</v>
      </c>
      <c r="E5" s="42" t="s">
        <v>112</v>
      </c>
      <c r="F5" s="42" t="s">
        <v>151</v>
      </c>
      <c r="G5" s="42">
        <v>2900</v>
      </c>
      <c r="H5" s="42">
        <v>360</v>
      </c>
      <c r="I5" s="42">
        <v>1238</v>
      </c>
      <c r="J5" s="42">
        <v>117</v>
      </c>
      <c r="K5" s="42">
        <v>38</v>
      </c>
      <c r="L5" s="42">
        <v>0</v>
      </c>
      <c r="M5" s="42">
        <v>4</v>
      </c>
      <c r="N5" s="42">
        <v>1</v>
      </c>
      <c r="O5" s="42">
        <v>0</v>
      </c>
    </row>
    <row r="6" spans="1:15" s="43" customFormat="1" x14ac:dyDescent="0.2">
      <c r="A6" s="39" t="str">
        <f t="shared" si="0"/>
        <v>TheDestroyers</v>
      </c>
      <c r="B6" s="40">
        <f t="shared" si="1"/>
        <v>4</v>
      </c>
      <c r="C6" s="41">
        <f>IFERROR(VLOOKUP(Table416[[#This Row],[fixedposition]],BattlePosition,2,FALSE),0)</f>
        <v>10</v>
      </c>
      <c r="D6" s="42" t="s">
        <v>126</v>
      </c>
      <c r="E6" s="42" t="s">
        <v>115</v>
      </c>
      <c r="F6" s="42" t="s">
        <v>152</v>
      </c>
      <c r="G6" s="42">
        <v>1950</v>
      </c>
      <c r="H6" s="42">
        <v>180</v>
      </c>
      <c r="I6" s="42">
        <v>1575</v>
      </c>
      <c r="J6" s="42">
        <v>117</v>
      </c>
      <c r="K6" s="42">
        <v>17</v>
      </c>
      <c r="L6" s="42">
        <v>8</v>
      </c>
      <c r="M6" s="42">
        <v>2</v>
      </c>
      <c r="N6" s="42">
        <v>0</v>
      </c>
      <c r="O6" s="42">
        <v>1</v>
      </c>
    </row>
    <row r="7" spans="1:15" s="43" customFormat="1" x14ac:dyDescent="0.2">
      <c r="A7" s="39" t="str">
        <f t="shared" si="0"/>
        <v>Fiasco</v>
      </c>
      <c r="B7" s="40">
        <f t="shared" si="1"/>
        <v>5</v>
      </c>
      <c r="C7" s="41">
        <f>IFERROR(VLOOKUP(Table416[[#This Row],[fixedposition]],BattlePosition,2,FALSE),0)</f>
        <v>7</v>
      </c>
      <c r="D7" s="42" t="s">
        <v>128</v>
      </c>
      <c r="E7" s="42" t="s">
        <v>117</v>
      </c>
      <c r="F7" s="42" t="s">
        <v>153</v>
      </c>
      <c r="G7" s="42">
        <v>2650</v>
      </c>
      <c r="H7" s="42">
        <v>0</v>
      </c>
      <c r="I7" s="42">
        <v>719</v>
      </c>
      <c r="J7" s="42">
        <v>19</v>
      </c>
      <c r="K7" s="42">
        <v>29</v>
      </c>
      <c r="L7" s="42">
        <v>0</v>
      </c>
      <c r="M7" s="42">
        <v>0</v>
      </c>
      <c r="N7" s="42">
        <v>2</v>
      </c>
      <c r="O7" s="42">
        <v>2</v>
      </c>
    </row>
    <row r="8" spans="1:15" s="43" customFormat="1" x14ac:dyDescent="0.2">
      <c r="A8" s="39" t="str">
        <f t="shared" si="0"/>
        <v>EclipseTheRest</v>
      </c>
      <c r="B8" s="40">
        <f t="shared" si="1"/>
        <v>6</v>
      </c>
      <c r="C8" s="41">
        <f>IFERROR(VLOOKUP(Table416[[#This Row],[fixedposition]],BattlePosition,2,FALSE),0)</f>
        <v>5</v>
      </c>
      <c r="D8" s="42" t="s">
        <v>130</v>
      </c>
      <c r="E8" s="42" t="s">
        <v>114</v>
      </c>
      <c r="F8" s="42" t="s">
        <v>154</v>
      </c>
      <c r="G8" s="42">
        <v>1750</v>
      </c>
      <c r="H8" s="42">
        <v>0</v>
      </c>
      <c r="I8" s="42">
        <v>917</v>
      </c>
      <c r="J8" s="42">
        <v>85</v>
      </c>
      <c r="K8" s="42">
        <v>383</v>
      </c>
      <c r="L8" s="42">
        <v>0</v>
      </c>
      <c r="M8" s="42">
        <v>0</v>
      </c>
      <c r="N8" s="42">
        <v>0</v>
      </c>
      <c r="O8" s="42">
        <v>1</v>
      </c>
    </row>
    <row r="9" spans="1:15" s="43" customFormat="1" x14ac:dyDescent="0.2">
      <c r="A9" s="39" t="str">
        <f t="shared" si="0"/>
        <v>NeinNeinNein</v>
      </c>
      <c r="B9" s="40">
        <f t="shared" si="1"/>
        <v>7</v>
      </c>
      <c r="C9" s="41">
        <f>IFERROR(VLOOKUP(Table416[[#This Row],[fixedposition]],BattlePosition,2,FALSE),0)</f>
        <v>4</v>
      </c>
      <c r="D9" s="42" t="s">
        <v>132</v>
      </c>
      <c r="E9" s="42" t="s">
        <v>118</v>
      </c>
      <c r="F9" s="42" t="s">
        <v>155</v>
      </c>
      <c r="G9" s="42">
        <v>1650</v>
      </c>
      <c r="H9" s="42">
        <v>0</v>
      </c>
      <c r="I9" s="42">
        <v>983</v>
      </c>
      <c r="J9" s="42">
        <v>102</v>
      </c>
      <c r="K9" s="42">
        <v>14</v>
      </c>
      <c r="L9" s="42">
        <v>0</v>
      </c>
      <c r="M9" s="42">
        <v>0</v>
      </c>
      <c r="N9" s="42">
        <v>0</v>
      </c>
      <c r="O9" s="42">
        <v>1</v>
      </c>
    </row>
    <row r="10" spans="1:15" s="43" customFormat="1" x14ac:dyDescent="0.2">
      <c r="A10" s="39" t="str">
        <f t="shared" si="0"/>
        <v>Divergent</v>
      </c>
      <c r="B10" s="40">
        <f t="shared" si="1"/>
        <v>8</v>
      </c>
      <c r="C10" s="41">
        <f>IFERROR(VLOOKUP(Table416[[#This Row],[fixedposition]],BattlePosition,2,FALSE),0)</f>
        <v>3</v>
      </c>
      <c r="D10" s="42" t="s">
        <v>134</v>
      </c>
      <c r="E10" s="42" t="s">
        <v>119</v>
      </c>
      <c r="F10" s="42" t="s">
        <v>156</v>
      </c>
      <c r="G10" s="42">
        <v>2150</v>
      </c>
      <c r="H10" s="42">
        <v>0</v>
      </c>
      <c r="I10" s="42">
        <v>412</v>
      </c>
      <c r="J10" s="42">
        <v>0</v>
      </c>
      <c r="K10" s="42">
        <v>79</v>
      </c>
      <c r="L10" s="42">
        <v>0</v>
      </c>
      <c r="M10" s="42">
        <v>0</v>
      </c>
      <c r="N10" s="42">
        <v>1</v>
      </c>
      <c r="O10" s="42">
        <v>0</v>
      </c>
    </row>
    <row r="11" spans="1:15" s="43" customFormat="1" x14ac:dyDescent="0.2">
      <c r="A11" s="39" t="str">
        <f t="shared" si="0"/>
        <v>TeamWally</v>
      </c>
      <c r="B11" s="40">
        <f t="shared" si="1"/>
        <v>9</v>
      </c>
      <c r="C11" s="41">
        <f>IFERROR(VLOOKUP(Table416[[#This Row],[fixedposition]],BattlePosition,2,FALSE),0)</f>
        <v>2</v>
      </c>
      <c r="D11" s="42" t="s">
        <v>136</v>
      </c>
      <c r="E11" s="42" t="s">
        <v>111</v>
      </c>
      <c r="F11" s="42" t="s">
        <v>157</v>
      </c>
      <c r="G11" s="42">
        <v>1750</v>
      </c>
      <c r="H11" s="42">
        <v>0</v>
      </c>
      <c r="I11" s="42">
        <v>367</v>
      </c>
      <c r="J11" s="42">
        <v>19</v>
      </c>
      <c r="K11" s="42">
        <v>25</v>
      </c>
      <c r="L11" s="42">
        <v>0</v>
      </c>
      <c r="M11" s="42">
        <v>0</v>
      </c>
      <c r="N11" s="42">
        <v>0</v>
      </c>
      <c r="O11" s="42">
        <v>0</v>
      </c>
    </row>
    <row r="12" spans="1:15" s="43" customFormat="1" x14ac:dyDescent="0.2">
      <c r="A12" s="39" t="str">
        <f t="shared" si="0"/>
        <v>FastFive</v>
      </c>
      <c r="B12" s="40">
        <f t="shared" si="1"/>
        <v>10</v>
      </c>
      <c r="C12" s="41">
        <f>IFERROR(VLOOKUP(Table416[[#This Row],[fixedposition]],BattlePosition,2,FALSE),0)</f>
        <v>1</v>
      </c>
      <c r="D12" s="42" t="s">
        <v>138</v>
      </c>
      <c r="E12" s="42" t="s">
        <v>116</v>
      </c>
      <c r="F12" s="42" t="s">
        <v>158</v>
      </c>
      <c r="G12" s="42">
        <v>1600</v>
      </c>
      <c r="H12" s="42">
        <v>0</v>
      </c>
      <c r="I12" s="42">
        <v>502</v>
      </c>
      <c r="J12" s="42">
        <v>4</v>
      </c>
      <c r="K12" s="42">
        <v>34</v>
      </c>
      <c r="L12" s="42">
        <v>0</v>
      </c>
      <c r="M12" s="42">
        <v>0</v>
      </c>
      <c r="N12" s="42">
        <v>1</v>
      </c>
      <c r="O12" s="42">
        <v>2</v>
      </c>
    </row>
  </sheetData>
  <mergeCells count="1">
    <mergeCell ref="D1:O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2"/>
  <sheetViews>
    <sheetView workbookViewId="0">
      <selection activeCell="A19" sqref="A19"/>
    </sheetView>
  </sheetViews>
  <sheetFormatPr defaultRowHeight="12.75" x14ac:dyDescent="0.2"/>
  <cols>
    <col min="1" max="1" width="17.140625" customWidth="1"/>
    <col min="2" max="2" width="11.42578125" bestFit="1" customWidth="1"/>
    <col min="3" max="3" width="6" bestFit="1" customWidth="1"/>
    <col min="5" max="5" width="57.140625" customWidth="1"/>
    <col min="6" max="6" width="11.42578125" customWidth="1"/>
    <col min="7" max="7" width="7.42578125" bestFit="1" customWidth="1"/>
    <col min="8" max="8" width="12.7109375" bestFit="1" customWidth="1"/>
    <col min="9" max="9" width="12.5703125" bestFit="1" customWidth="1"/>
    <col min="10" max="10" width="10.85546875" bestFit="1" customWidth="1"/>
    <col min="11" max="11" width="14.28515625" bestFit="1" customWidth="1"/>
    <col min="12" max="12" width="9.5703125" bestFit="1" customWidth="1"/>
    <col min="13" max="13" width="4.42578125" bestFit="1" customWidth="1"/>
    <col min="14" max="14" width="4.85546875" bestFit="1" customWidth="1"/>
    <col min="15" max="15" width="4.5703125" bestFit="1" customWidth="1"/>
  </cols>
  <sheetData>
    <row r="1" spans="1:15" s="43" customFormat="1" ht="15" x14ac:dyDescent="0.2">
      <c r="B1" s="28"/>
      <c r="C1" s="28"/>
      <c r="D1" s="62" t="s">
        <v>107</v>
      </c>
      <c r="E1" s="63"/>
      <c r="F1" s="63"/>
      <c r="G1" s="63"/>
      <c r="H1" s="63"/>
      <c r="I1" s="63"/>
      <c r="J1" s="63"/>
      <c r="K1" s="63"/>
      <c r="L1" s="63"/>
      <c r="M1" s="63"/>
      <c r="N1" s="63"/>
      <c r="O1" s="64"/>
    </row>
    <row r="2" spans="1:15" s="43" customFormat="1" x14ac:dyDescent="0.2">
      <c r="A2" s="39" t="s">
        <v>101</v>
      </c>
      <c r="B2" s="47" t="s">
        <v>104</v>
      </c>
      <c r="C2" s="47" t="s">
        <v>102</v>
      </c>
      <c r="D2" s="28" t="s">
        <v>89</v>
      </c>
      <c r="E2" s="28" t="s">
        <v>90</v>
      </c>
      <c r="F2" s="27" t="s">
        <v>91</v>
      </c>
      <c r="G2" s="27" t="s">
        <v>92</v>
      </c>
      <c r="H2" s="27" t="s">
        <v>93</v>
      </c>
      <c r="I2" s="27" t="s">
        <v>94</v>
      </c>
      <c r="J2" s="27" t="s">
        <v>95</v>
      </c>
      <c r="K2" s="27" t="s">
        <v>96</v>
      </c>
      <c r="L2" s="27" t="s">
        <v>97</v>
      </c>
      <c r="M2" s="27" t="s">
        <v>98</v>
      </c>
      <c r="N2" s="27" t="s">
        <v>99</v>
      </c>
      <c r="O2" s="27" t="s">
        <v>100</v>
      </c>
    </row>
    <row r="3" spans="1:15" s="43" customFormat="1" x14ac:dyDescent="0.2">
      <c r="A3" s="39" t="str">
        <f t="shared" ref="A3:A12" si="0">SUBSTITUTE(TRIM(RIGHT(SUBSTITUTE(E3,".",REPT(" ",LEN(E3))),LEN(E3))),"*","")</f>
        <v>NeinNeinNein</v>
      </c>
      <c r="B3" s="40">
        <f t="shared" ref="B3:B12" si="1">INT(SUBSTITUTE(SUBSTITUTE(SUBSTITUTE(SUBSTITUTE(D3,"st",""),"nd",""),"rd",""),"th",""))</f>
        <v>1</v>
      </c>
      <c r="C3" s="41">
        <f>IFERROR(VLOOKUP(Table41618[[#This Row],[fixedposition]],BattlePosition,2,FALSE),0)</f>
        <v>30</v>
      </c>
      <c r="D3" s="42" t="s">
        <v>120</v>
      </c>
      <c r="E3" s="42" t="s">
        <v>125</v>
      </c>
      <c r="F3" s="42" t="s">
        <v>160</v>
      </c>
      <c r="G3" s="42">
        <v>2750</v>
      </c>
      <c r="H3" s="42">
        <v>180</v>
      </c>
      <c r="I3" s="42">
        <v>1797</v>
      </c>
      <c r="J3" s="42">
        <v>220</v>
      </c>
      <c r="K3" s="42">
        <v>47</v>
      </c>
      <c r="L3" s="42">
        <v>0</v>
      </c>
      <c r="M3" s="42">
        <v>2</v>
      </c>
      <c r="N3" s="42">
        <v>1</v>
      </c>
      <c r="O3" s="42">
        <v>2</v>
      </c>
    </row>
    <row r="4" spans="1:15" s="43" customFormat="1" x14ac:dyDescent="0.2">
      <c r="A4" s="39" t="str">
        <f t="shared" si="0"/>
        <v>Tankops</v>
      </c>
      <c r="B4" s="40">
        <f t="shared" si="1"/>
        <v>2</v>
      </c>
      <c r="C4" s="41">
        <f>IFERROR(VLOOKUP(Table41618[[#This Row],[fixedposition]],BattlePosition,2,FALSE),0)</f>
        <v>20</v>
      </c>
      <c r="D4" s="42" t="s">
        <v>122</v>
      </c>
      <c r="E4" s="42" t="s">
        <v>127</v>
      </c>
      <c r="F4" s="42" t="s">
        <v>161</v>
      </c>
      <c r="G4" s="42">
        <v>2550</v>
      </c>
      <c r="H4" s="42">
        <v>90</v>
      </c>
      <c r="I4" s="42">
        <v>1699</v>
      </c>
      <c r="J4" s="42">
        <v>118</v>
      </c>
      <c r="K4" s="42">
        <v>47</v>
      </c>
      <c r="L4" s="42">
        <v>0</v>
      </c>
      <c r="M4" s="42">
        <v>1</v>
      </c>
      <c r="N4" s="42">
        <v>1</v>
      </c>
      <c r="O4" s="42">
        <v>1</v>
      </c>
    </row>
    <row r="5" spans="1:15" s="43" customFormat="1" x14ac:dyDescent="0.2">
      <c r="A5" s="39" t="str">
        <f t="shared" si="0"/>
        <v>EclipseTheRest</v>
      </c>
      <c r="B5" s="40">
        <f t="shared" si="1"/>
        <v>3</v>
      </c>
      <c r="C5" s="41">
        <f>IFERROR(VLOOKUP(Table41618[[#This Row],[fixedposition]],BattlePosition,2,FALSE),0)</f>
        <v>15</v>
      </c>
      <c r="D5" s="42" t="s">
        <v>124</v>
      </c>
      <c r="E5" s="42" t="s">
        <v>131</v>
      </c>
      <c r="F5" s="42" t="s">
        <v>162</v>
      </c>
      <c r="G5" s="42">
        <v>2650</v>
      </c>
      <c r="H5" s="42">
        <v>360</v>
      </c>
      <c r="I5" s="42">
        <v>872</v>
      </c>
      <c r="J5" s="42">
        <v>75</v>
      </c>
      <c r="K5" s="42">
        <v>169</v>
      </c>
      <c r="L5" s="42">
        <v>0</v>
      </c>
      <c r="M5" s="42">
        <v>4</v>
      </c>
      <c r="N5" s="42">
        <v>1</v>
      </c>
      <c r="O5" s="42">
        <v>0</v>
      </c>
    </row>
    <row r="6" spans="1:15" s="43" customFormat="1" x14ac:dyDescent="0.2">
      <c r="A6" s="39" t="str">
        <f t="shared" si="0"/>
        <v>Panzr</v>
      </c>
      <c r="B6" s="40">
        <f t="shared" si="1"/>
        <v>4</v>
      </c>
      <c r="C6" s="41">
        <f>IFERROR(VLOOKUP(Table41618[[#This Row],[fixedposition]],BattlePosition,2,FALSE),0)</f>
        <v>10</v>
      </c>
      <c r="D6" s="42" t="s">
        <v>126</v>
      </c>
      <c r="E6" s="42" t="s">
        <v>163</v>
      </c>
      <c r="F6" s="42" t="s">
        <v>164</v>
      </c>
      <c r="G6" s="42">
        <v>2100</v>
      </c>
      <c r="H6" s="42">
        <v>0</v>
      </c>
      <c r="I6" s="42">
        <v>1486</v>
      </c>
      <c r="J6" s="42">
        <v>128</v>
      </c>
      <c r="K6" s="42">
        <v>91</v>
      </c>
      <c r="L6" s="42">
        <v>22</v>
      </c>
      <c r="M6" s="42">
        <v>0</v>
      </c>
      <c r="N6" s="42">
        <v>2</v>
      </c>
      <c r="O6" s="42">
        <v>0</v>
      </c>
    </row>
    <row r="7" spans="1:15" s="43" customFormat="1" x14ac:dyDescent="0.2">
      <c r="A7" s="39" t="str">
        <f t="shared" si="0"/>
        <v>Divergent</v>
      </c>
      <c r="B7" s="40">
        <f t="shared" si="1"/>
        <v>5</v>
      </c>
      <c r="C7" s="41">
        <f>IFERROR(VLOOKUP(Table41618[[#This Row],[fixedposition]],BattlePosition,2,FALSE),0)</f>
        <v>7</v>
      </c>
      <c r="D7" s="42" t="s">
        <v>128</v>
      </c>
      <c r="E7" s="42" t="s">
        <v>137</v>
      </c>
      <c r="F7" s="42" t="s">
        <v>165</v>
      </c>
      <c r="G7" s="42">
        <v>2200</v>
      </c>
      <c r="H7" s="42">
        <v>0</v>
      </c>
      <c r="I7" s="42">
        <v>1347</v>
      </c>
      <c r="J7" s="42">
        <v>53</v>
      </c>
      <c r="K7" s="42">
        <v>73</v>
      </c>
      <c r="L7" s="42">
        <v>15</v>
      </c>
      <c r="M7" s="42">
        <v>0</v>
      </c>
      <c r="N7" s="42">
        <v>1</v>
      </c>
      <c r="O7" s="42">
        <v>3</v>
      </c>
    </row>
    <row r="8" spans="1:15" s="43" customFormat="1" x14ac:dyDescent="0.2">
      <c r="A8" s="39" t="str">
        <f t="shared" si="0"/>
        <v>FastFive</v>
      </c>
      <c r="B8" s="40">
        <f t="shared" si="1"/>
        <v>6</v>
      </c>
      <c r="C8" s="41">
        <f>IFERROR(VLOOKUP(Table41618[[#This Row],[fixedposition]],BattlePosition,2,FALSE),0)</f>
        <v>5</v>
      </c>
      <c r="D8" s="42" t="s">
        <v>130</v>
      </c>
      <c r="E8" s="42" t="s">
        <v>133</v>
      </c>
      <c r="F8" s="42" t="s">
        <v>166</v>
      </c>
      <c r="G8" s="42">
        <v>2900</v>
      </c>
      <c r="H8" s="42">
        <v>180</v>
      </c>
      <c r="I8" s="42">
        <v>444</v>
      </c>
      <c r="J8" s="42">
        <v>9</v>
      </c>
      <c r="K8" s="42">
        <v>43</v>
      </c>
      <c r="L8" s="42">
        <v>0</v>
      </c>
      <c r="M8" s="42">
        <v>2</v>
      </c>
      <c r="N8" s="42">
        <v>1</v>
      </c>
      <c r="O8" s="42">
        <v>0</v>
      </c>
    </row>
    <row r="9" spans="1:15" s="43" customFormat="1" x14ac:dyDescent="0.2">
      <c r="A9" s="39" t="str">
        <f t="shared" si="0"/>
        <v>Fiasco</v>
      </c>
      <c r="B9" s="40">
        <f t="shared" si="1"/>
        <v>7</v>
      </c>
      <c r="C9" s="41">
        <f>IFERROR(VLOOKUP(Table41618[[#This Row],[fixedposition]],BattlePosition,2,FALSE),0)</f>
        <v>4</v>
      </c>
      <c r="D9" s="42" t="s">
        <v>132</v>
      </c>
      <c r="E9" s="42" t="s">
        <v>129</v>
      </c>
      <c r="F9" s="42" t="s">
        <v>167</v>
      </c>
      <c r="G9" s="42">
        <v>2350</v>
      </c>
      <c r="H9" s="42">
        <v>0</v>
      </c>
      <c r="I9" s="42">
        <v>1081</v>
      </c>
      <c r="J9" s="42">
        <v>34</v>
      </c>
      <c r="K9" s="42">
        <v>46</v>
      </c>
      <c r="L9" s="42">
        <v>10</v>
      </c>
      <c r="M9" s="42">
        <v>0</v>
      </c>
      <c r="N9" s="42">
        <v>2</v>
      </c>
      <c r="O9" s="42">
        <v>1</v>
      </c>
    </row>
    <row r="10" spans="1:15" s="43" customFormat="1" x14ac:dyDescent="0.2">
      <c r="A10" s="39" t="str">
        <f t="shared" si="0"/>
        <v>TheDestroyers</v>
      </c>
      <c r="B10" s="40">
        <f t="shared" si="1"/>
        <v>8</v>
      </c>
      <c r="C10" s="41">
        <f>IFERROR(VLOOKUP(Table41618[[#This Row],[fixedposition]],BattlePosition,2,FALSE),0)</f>
        <v>3</v>
      </c>
      <c r="D10" s="42" t="s">
        <v>134</v>
      </c>
      <c r="E10" s="42" t="s">
        <v>121</v>
      </c>
      <c r="F10" s="42" t="s">
        <v>168</v>
      </c>
      <c r="G10" s="42">
        <v>2150</v>
      </c>
      <c r="H10" s="42">
        <v>90</v>
      </c>
      <c r="I10" s="42">
        <v>1003</v>
      </c>
      <c r="J10" s="42">
        <v>83</v>
      </c>
      <c r="K10" s="42">
        <v>17</v>
      </c>
      <c r="L10" s="42">
        <v>0</v>
      </c>
      <c r="M10" s="42">
        <v>1</v>
      </c>
      <c r="N10" s="42">
        <v>1</v>
      </c>
      <c r="O10" s="42">
        <v>0</v>
      </c>
    </row>
    <row r="11" spans="1:15" s="43" customFormat="1" x14ac:dyDescent="0.2">
      <c r="A11" s="39" t="str">
        <f t="shared" si="0"/>
        <v>TeamWally</v>
      </c>
      <c r="B11" s="40">
        <f t="shared" si="1"/>
        <v>9</v>
      </c>
      <c r="C11" s="41">
        <f>IFERROR(VLOOKUP(Table41618[[#This Row],[fixedposition]],BattlePosition,2,FALSE),0)</f>
        <v>2</v>
      </c>
      <c r="D11" s="42" t="s">
        <v>136</v>
      </c>
      <c r="E11" s="42" t="s">
        <v>135</v>
      </c>
      <c r="F11" s="42" t="s">
        <v>169</v>
      </c>
      <c r="G11" s="42">
        <v>1600</v>
      </c>
      <c r="H11" s="42">
        <v>0</v>
      </c>
      <c r="I11" s="42">
        <v>731</v>
      </c>
      <c r="J11" s="42">
        <v>35</v>
      </c>
      <c r="K11" s="42">
        <v>30</v>
      </c>
      <c r="L11" s="42">
        <v>0</v>
      </c>
      <c r="M11" s="42">
        <v>0</v>
      </c>
      <c r="N11" s="42">
        <v>0</v>
      </c>
      <c r="O11" s="42">
        <v>2</v>
      </c>
    </row>
    <row r="12" spans="1:15" s="43" customFormat="1" x14ac:dyDescent="0.2">
      <c r="A12" s="39" t="str">
        <f t="shared" si="0"/>
        <v>HatefulEight</v>
      </c>
      <c r="B12" s="40">
        <f t="shared" si="1"/>
        <v>10</v>
      </c>
      <c r="C12" s="41">
        <f>IFERROR(VLOOKUP(Table41618[[#This Row],[fixedposition]],BattlePosition,2,FALSE),0)</f>
        <v>1</v>
      </c>
      <c r="D12" s="42" t="s">
        <v>138</v>
      </c>
      <c r="E12" s="42" t="s">
        <v>123</v>
      </c>
      <c r="F12" s="42" t="s">
        <v>170</v>
      </c>
      <c r="G12" s="42">
        <v>1250</v>
      </c>
      <c r="H12" s="42">
        <v>0</v>
      </c>
      <c r="I12" s="42">
        <v>187</v>
      </c>
      <c r="J12" s="42">
        <v>7</v>
      </c>
      <c r="K12" s="42">
        <v>11</v>
      </c>
      <c r="L12" s="42">
        <v>1</v>
      </c>
      <c r="M12" s="42">
        <v>0</v>
      </c>
      <c r="N12" s="42">
        <v>0</v>
      </c>
      <c r="O12" s="42">
        <v>1</v>
      </c>
    </row>
  </sheetData>
  <mergeCells count="1">
    <mergeCell ref="D1:O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9"/>
  <sheetViews>
    <sheetView workbookViewId="0"/>
  </sheetViews>
  <sheetFormatPr defaultRowHeight="12.75" x14ac:dyDescent="0.2"/>
  <cols>
    <col min="1" max="1" width="17.140625" customWidth="1"/>
    <col min="2" max="2" width="11.42578125" bestFit="1" customWidth="1"/>
    <col min="3" max="3" width="6" bestFit="1" customWidth="1"/>
    <col min="5" max="5" width="57.140625" customWidth="1"/>
    <col min="6" max="6" width="11.42578125" customWidth="1"/>
    <col min="7" max="7" width="7.42578125" bestFit="1" customWidth="1"/>
    <col min="8" max="8" width="12.7109375" bestFit="1" customWidth="1"/>
    <col min="9" max="9" width="12.5703125" bestFit="1" customWidth="1"/>
    <col min="10" max="10" width="10.85546875" bestFit="1" customWidth="1"/>
    <col min="11" max="11" width="14.28515625" bestFit="1" customWidth="1"/>
    <col min="12" max="12" width="9.5703125" bestFit="1" customWidth="1"/>
    <col min="13" max="13" width="4.42578125" bestFit="1" customWidth="1"/>
    <col min="14" max="14" width="4.85546875" bestFit="1" customWidth="1"/>
    <col min="15" max="15" width="4.5703125" bestFit="1" customWidth="1"/>
  </cols>
  <sheetData>
    <row r="1" spans="1:15" ht="15" x14ac:dyDescent="0.2">
      <c r="B1" s="7"/>
      <c r="C1" s="7"/>
      <c r="D1" s="65" t="s">
        <v>108</v>
      </c>
      <c r="E1" s="66"/>
      <c r="F1" s="66"/>
      <c r="G1" s="66"/>
      <c r="H1" s="66"/>
      <c r="I1" s="66"/>
      <c r="J1" s="66"/>
      <c r="K1" s="66"/>
      <c r="L1" s="66"/>
      <c r="M1" s="66"/>
      <c r="N1" s="66"/>
      <c r="O1" s="67"/>
    </row>
    <row r="2" spans="1:15" x14ac:dyDescent="0.2">
      <c r="A2" s="5" t="s">
        <v>101</v>
      </c>
      <c r="B2" s="4" t="s">
        <v>104</v>
      </c>
      <c r="C2" s="4" t="s">
        <v>102</v>
      </c>
      <c r="D2" s="7" t="s">
        <v>89</v>
      </c>
      <c r="E2" s="7" t="s">
        <v>90</v>
      </c>
      <c r="F2" s="6" t="s">
        <v>91</v>
      </c>
      <c r="G2" s="6" t="s">
        <v>92</v>
      </c>
      <c r="H2" s="6" t="s">
        <v>93</v>
      </c>
      <c r="I2" s="6" t="s">
        <v>94</v>
      </c>
      <c r="J2" s="6" t="s">
        <v>95</v>
      </c>
      <c r="K2" s="6" t="s">
        <v>96</v>
      </c>
      <c r="L2" s="6" t="s">
        <v>97</v>
      </c>
      <c r="M2" s="6" t="s">
        <v>98</v>
      </c>
      <c r="N2" s="6" t="s">
        <v>99</v>
      </c>
      <c r="O2" s="6" t="s">
        <v>100</v>
      </c>
    </row>
    <row r="3" spans="1:15" s="43" customFormat="1" x14ac:dyDescent="0.2">
      <c r="A3" s="39" t="str">
        <f t="shared" ref="A3:A17" si="0">SUBSTITUTE(TRIM(RIGHT(SUBSTITUTE(E3,".",REPT(" ",LEN(E3))),LEN(E3))),"*","")</f>
        <v>NeinNeinNein</v>
      </c>
      <c r="B3" s="40">
        <f t="shared" ref="B3:B17" si="1">INT(SUBSTITUTE(SUBSTITUTE(SUBSTITUTE(SUBSTITUTE(D3,"st",""),"nd",""),"rd",""),"th",""))</f>
        <v>1</v>
      </c>
      <c r="C3" s="41">
        <f>IFERROR(VLOOKUP(Table4161820[[#This Row],[fixedposition]],BattlePosition,2,FALSE),0)</f>
        <v>30</v>
      </c>
      <c r="D3" s="42" t="s">
        <v>120</v>
      </c>
      <c r="E3" s="42" t="s">
        <v>125</v>
      </c>
      <c r="F3" s="42" t="s">
        <v>171</v>
      </c>
      <c r="G3" s="42">
        <v>5800</v>
      </c>
      <c r="H3" s="42">
        <v>480</v>
      </c>
      <c r="I3" s="42">
        <v>2890</v>
      </c>
      <c r="J3" s="42">
        <v>281</v>
      </c>
      <c r="K3" s="42">
        <v>56</v>
      </c>
      <c r="L3" s="42">
        <v>0</v>
      </c>
      <c r="M3" s="42">
        <v>3</v>
      </c>
      <c r="N3" s="42">
        <v>1</v>
      </c>
      <c r="O3" s="42">
        <v>1</v>
      </c>
    </row>
    <row r="4" spans="1:15" s="43" customFormat="1" x14ac:dyDescent="0.2">
      <c r="A4" s="39" t="str">
        <f t="shared" si="0"/>
        <v>Tankops</v>
      </c>
      <c r="B4" s="40">
        <f t="shared" si="1"/>
        <v>2</v>
      </c>
      <c r="C4" s="41">
        <f>IFERROR(VLOOKUP(Table4161820[[#This Row],[fixedposition]],BattlePosition,2,FALSE),0)</f>
        <v>20</v>
      </c>
      <c r="D4" s="42" t="s">
        <v>122</v>
      </c>
      <c r="E4" s="42" t="s">
        <v>127</v>
      </c>
      <c r="F4" s="42" t="s">
        <v>172</v>
      </c>
      <c r="G4" s="42">
        <v>5850</v>
      </c>
      <c r="H4" s="42">
        <v>480</v>
      </c>
      <c r="I4" s="42">
        <v>1989</v>
      </c>
      <c r="J4" s="42">
        <v>170</v>
      </c>
      <c r="K4" s="42">
        <v>53</v>
      </c>
      <c r="L4" s="42">
        <v>12</v>
      </c>
      <c r="M4" s="42">
        <v>3</v>
      </c>
      <c r="N4" s="42">
        <v>0</v>
      </c>
      <c r="O4" s="42">
        <v>1</v>
      </c>
    </row>
    <row r="5" spans="1:15" s="43" customFormat="1" x14ac:dyDescent="0.2">
      <c r="A5" s="39" t="str">
        <f t="shared" si="0"/>
        <v>TheDestroyers</v>
      </c>
      <c r="B5" s="40">
        <f t="shared" si="1"/>
        <v>3</v>
      </c>
      <c r="C5" s="41">
        <f>IFERROR(VLOOKUP(Table4161820[[#This Row],[fixedposition]],BattlePosition,2,FALSE),0)</f>
        <v>15</v>
      </c>
      <c r="D5" s="42" t="s">
        <v>124</v>
      </c>
      <c r="E5" s="42" t="s">
        <v>121</v>
      </c>
      <c r="F5" s="42" t="s">
        <v>173</v>
      </c>
      <c r="G5" s="42">
        <v>5700</v>
      </c>
      <c r="H5" s="42">
        <v>160</v>
      </c>
      <c r="I5" s="42">
        <v>2134</v>
      </c>
      <c r="J5" s="42">
        <v>244</v>
      </c>
      <c r="K5" s="42">
        <v>36</v>
      </c>
      <c r="L5" s="42">
        <v>0</v>
      </c>
      <c r="M5" s="42">
        <v>1</v>
      </c>
      <c r="N5" s="42">
        <v>2</v>
      </c>
      <c r="O5" s="42">
        <v>0</v>
      </c>
    </row>
    <row r="6" spans="1:15" s="43" customFormat="1" x14ac:dyDescent="0.2">
      <c r="A6" s="39" t="str">
        <f t="shared" si="0"/>
        <v>Divergent</v>
      </c>
      <c r="B6" s="40">
        <f t="shared" si="1"/>
        <v>4</v>
      </c>
      <c r="C6" s="41">
        <f>IFERROR(VLOOKUP(Table4161820[[#This Row],[fixedposition]],BattlePosition,2,FALSE),0)</f>
        <v>10</v>
      </c>
      <c r="D6" s="42" t="s">
        <v>126</v>
      </c>
      <c r="E6" s="42" t="s">
        <v>137</v>
      </c>
      <c r="F6" s="42" t="s">
        <v>174</v>
      </c>
      <c r="G6" s="42">
        <v>5800</v>
      </c>
      <c r="H6" s="42">
        <v>160</v>
      </c>
      <c r="I6" s="42">
        <v>2130</v>
      </c>
      <c r="J6" s="42">
        <v>60</v>
      </c>
      <c r="K6" s="42">
        <v>52</v>
      </c>
      <c r="L6" s="42">
        <v>25</v>
      </c>
      <c r="M6" s="42">
        <v>1</v>
      </c>
      <c r="N6" s="42">
        <v>2</v>
      </c>
      <c r="O6" s="42">
        <v>2</v>
      </c>
    </row>
    <row r="7" spans="1:15" s="43" customFormat="1" x14ac:dyDescent="0.2">
      <c r="A7" s="39" t="str">
        <f t="shared" si="0"/>
        <v>Tracker</v>
      </c>
      <c r="B7" s="40">
        <f t="shared" si="1"/>
        <v>5</v>
      </c>
      <c r="C7" s="41">
        <f>IFERROR(VLOOKUP(Table4161820[[#This Row],[fixedposition]],BattlePosition,2,FALSE),0)</f>
        <v>7</v>
      </c>
      <c r="D7" s="42" t="s">
        <v>128</v>
      </c>
      <c r="E7" s="42" t="s">
        <v>175</v>
      </c>
      <c r="F7" s="42" t="s">
        <v>176</v>
      </c>
      <c r="G7" s="42">
        <v>4600</v>
      </c>
      <c r="H7" s="42">
        <v>0</v>
      </c>
      <c r="I7" s="42">
        <v>1646</v>
      </c>
      <c r="J7" s="42">
        <v>97</v>
      </c>
      <c r="K7" s="42">
        <v>79</v>
      </c>
      <c r="L7" s="42">
        <v>24</v>
      </c>
      <c r="M7" s="42">
        <v>0</v>
      </c>
      <c r="N7" s="42">
        <v>1</v>
      </c>
      <c r="O7" s="42">
        <v>1</v>
      </c>
    </row>
    <row r="8" spans="1:15" s="43" customFormat="1" x14ac:dyDescent="0.2">
      <c r="A8" s="39" t="str">
        <f t="shared" si="0"/>
        <v>Fire</v>
      </c>
      <c r="B8" s="40">
        <f t="shared" si="1"/>
        <v>6</v>
      </c>
      <c r="C8" s="41">
        <f>IFERROR(VLOOKUP(Table4161820[[#This Row],[fixedposition]],BattlePosition,2,FALSE),0)</f>
        <v>5</v>
      </c>
      <c r="D8" s="42" t="s">
        <v>130</v>
      </c>
      <c r="E8" s="42" t="s">
        <v>177</v>
      </c>
      <c r="F8" s="42" t="s">
        <v>178</v>
      </c>
      <c r="G8" s="42">
        <v>4700</v>
      </c>
      <c r="H8" s="42">
        <v>0</v>
      </c>
      <c r="I8" s="42">
        <v>902</v>
      </c>
      <c r="J8" s="42">
        <v>15</v>
      </c>
      <c r="K8" s="42">
        <v>2</v>
      </c>
      <c r="L8" s="42">
        <v>0</v>
      </c>
      <c r="M8" s="42">
        <v>0</v>
      </c>
      <c r="N8" s="42">
        <v>0</v>
      </c>
      <c r="O8" s="42">
        <v>2</v>
      </c>
    </row>
    <row r="9" spans="1:15" s="43" customFormat="1" x14ac:dyDescent="0.2">
      <c r="A9" s="39" t="str">
        <f t="shared" si="0"/>
        <v>Panzr</v>
      </c>
      <c r="B9" s="40">
        <f t="shared" si="1"/>
        <v>7</v>
      </c>
      <c r="C9" s="41">
        <f>IFERROR(VLOOKUP(Table4161820[[#This Row],[fixedposition]],BattlePosition,2,FALSE),0)</f>
        <v>4</v>
      </c>
      <c r="D9" s="42" t="s">
        <v>132</v>
      </c>
      <c r="E9" s="42" t="s">
        <v>163</v>
      </c>
      <c r="F9" s="42" t="s">
        <v>179</v>
      </c>
      <c r="G9" s="42">
        <v>3850</v>
      </c>
      <c r="H9" s="42">
        <v>0</v>
      </c>
      <c r="I9" s="42">
        <v>1342</v>
      </c>
      <c r="J9" s="42">
        <v>101</v>
      </c>
      <c r="K9" s="42">
        <v>56</v>
      </c>
      <c r="L9" s="42">
        <v>0</v>
      </c>
      <c r="M9" s="42">
        <v>0</v>
      </c>
      <c r="N9" s="42">
        <v>1</v>
      </c>
      <c r="O9" s="42">
        <v>0</v>
      </c>
    </row>
    <row r="10" spans="1:15" s="43" customFormat="1" x14ac:dyDescent="0.2">
      <c r="A10" s="39" t="str">
        <f t="shared" si="0"/>
        <v>RamFire</v>
      </c>
      <c r="B10" s="40">
        <f t="shared" si="1"/>
        <v>8</v>
      </c>
      <c r="C10" s="41">
        <f>IFERROR(VLOOKUP(Table4161820[[#This Row],[fixedposition]],BattlePosition,2,FALSE),0)</f>
        <v>3</v>
      </c>
      <c r="D10" s="42" t="s">
        <v>134</v>
      </c>
      <c r="E10" s="42" t="s">
        <v>180</v>
      </c>
      <c r="F10" s="42" t="s">
        <v>181</v>
      </c>
      <c r="G10" s="42">
        <v>3150</v>
      </c>
      <c r="H10" s="42">
        <v>0</v>
      </c>
      <c r="I10" s="42">
        <v>1279</v>
      </c>
      <c r="J10" s="42">
        <v>33</v>
      </c>
      <c r="K10" s="42">
        <v>419</v>
      </c>
      <c r="L10" s="42">
        <v>145</v>
      </c>
      <c r="M10" s="42">
        <v>0</v>
      </c>
      <c r="N10" s="42">
        <v>0</v>
      </c>
      <c r="O10" s="42">
        <v>0</v>
      </c>
    </row>
    <row r="11" spans="1:15" s="43" customFormat="1" x14ac:dyDescent="0.2">
      <c r="A11" s="39" t="str">
        <f t="shared" si="0"/>
        <v>Fiasco</v>
      </c>
      <c r="B11" s="40">
        <f t="shared" si="1"/>
        <v>9</v>
      </c>
      <c r="C11" s="41">
        <f>IFERROR(VLOOKUP(Table4161820[[#This Row],[fixedposition]],BattlePosition,2,FALSE),0)</f>
        <v>2</v>
      </c>
      <c r="D11" s="42" t="s">
        <v>136</v>
      </c>
      <c r="E11" s="42" t="s">
        <v>129</v>
      </c>
      <c r="F11" s="42" t="s">
        <v>182</v>
      </c>
      <c r="G11" s="42">
        <v>3900</v>
      </c>
      <c r="H11" s="42">
        <v>0</v>
      </c>
      <c r="I11" s="42">
        <v>843</v>
      </c>
      <c r="J11" s="42">
        <v>37</v>
      </c>
      <c r="K11" s="42">
        <v>54</v>
      </c>
      <c r="L11" s="42">
        <v>0</v>
      </c>
      <c r="M11" s="42">
        <v>0</v>
      </c>
      <c r="N11" s="42">
        <v>0</v>
      </c>
      <c r="O11" s="42">
        <v>1</v>
      </c>
    </row>
    <row r="12" spans="1:15" s="43" customFormat="1" x14ac:dyDescent="0.2">
      <c r="A12" s="39" t="str">
        <f t="shared" si="0"/>
        <v>Corners</v>
      </c>
      <c r="B12" s="40">
        <f t="shared" si="1"/>
        <v>10</v>
      </c>
      <c r="C12" s="41">
        <f>IFERROR(VLOOKUP(Table4161820[[#This Row],[fixedposition]],BattlePosition,2,FALSE),0)</f>
        <v>1</v>
      </c>
      <c r="D12" s="42" t="s">
        <v>138</v>
      </c>
      <c r="E12" s="42" t="s">
        <v>183</v>
      </c>
      <c r="F12" s="42" t="s">
        <v>184</v>
      </c>
      <c r="G12" s="42">
        <v>3600</v>
      </c>
      <c r="H12" s="42">
        <v>0</v>
      </c>
      <c r="I12" s="42">
        <v>950</v>
      </c>
      <c r="J12" s="42">
        <v>51</v>
      </c>
      <c r="K12" s="42">
        <v>4</v>
      </c>
      <c r="L12" s="42">
        <v>0</v>
      </c>
      <c r="M12" s="42">
        <v>0</v>
      </c>
      <c r="N12" s="42">
        <v>0</v>
      </c>
      <c r="O12" s="42">
        <v>1</v>
      </c>
    </row>
    <row r="13" spans="1:15" s="43" customFormat="1" x14ac:dyDescent="0.2">
      <c r="A13" s="39" t="str">
        <f t="shared" si="0"/>
        <v>FastFive</v>
      </c>
      <c r="B13" s="40">
        <f t="shared" si="1"/>
        <v>11</v>
      </c>
      <c r="C13" s="41">
        <f>IFERROR(VLOOKUP(Table4161820[[#This Row],[fixedposition]],BattlePosition,2,FALSE),0)</f>
        <v>0</v>
      </c>
      <c r="D13" s="42" t="s">
        <v>185</v>
      </c>
      <c r="E13" s="42" t="s">
        <v>133</v>
      </c>
      <c r="F13" s="42" t="s">
        <v>186</v>
      </c>
      <c r="G13" s="42">
        <v>3900</v>
      </c>
      <c r="H13" s="42">
        <v>0</v>
      </c>
      <c r="I13" s="42">
        <v>397</v>
      </c>
      <c r="J13" s="42">
        <v>11</v>
      </c>
      <c r="K13" s="42">
        <v>47</v>
      </c>
      <c r="L13" s="42">
        <v>0</v>
      </c>
      <c r="M13" s="42">
        <v>0</v>
      </c>
      <c r="N13" s="42">
        <v>3</v>
      </c>
      <c r="O13" s="42">
        <v>0</v>
      </c>
    </row>
    <row r="14" spans="1:15" s="43" customFormat="1" x14ac:dyDescent="0.2">
      <c r="A14" s="39" t="str">
        <f t="shared" si="0"/>
        <v>TeamWally</v>
      </c>
      <c r="B14" s="40">
        <f t="shared" si="1"/>
        <v>12</v>
      </c>
      <c r="C14" s="41">
        <f>IFERROR(VLOOKUP(Table4161820[[#This Row],[fixedposition]],BattlePosition,2,FALSE),0)</f>
        <v>0</v>
      </c>
      <c r="D14" s="42" t="s">
        <v>187</v>
      </c>
      <c r="E14" s="42" t="s">
        <v>135</v>
      </c>
      <c r="F14" s="42" t="s">
        <v>188</v>
      </c>
      <c r="G14" s="42">
        <v>3100</v>
      </c>
      <c r="H14" s="42">
        <v>160</v>
      </c>
      <c r="I14" s="42">
        <v>975</v>
      </c>
      <c r="J14" s="42">
        <v>45</v>
      </c>
      <c r="K14" s="42">
        <v>48</v>
      </c>
      <c r="L14" s="42">
        <v>0</v>
      </c>
      <c r="M14" s="42">
        <v>1</v>
      </c>
      <c r="N14" s="42">
        <v>0</v>
      </c>
      <c r="O14" s="42">
        <v>0</v>
      </c>
    </row>
    <row r="15" spans="1:15" s="43" customFormat="1" x14ac:dyDescent="0.2">
      <c r="A15" s="39" t="str">
        <f t="shared" si="0"/>
        <v>TrackFire</v>
      </c>
      <c r="B15" s="40">
        <f t="shared" si="1"/>
        <v>13</v>
      </c>
      <c r="C15" s="41">
        <f>IFERROR(VLOOKUP(Table4161820[[#This Row],[fixedposition]],BattlePosition,2,FALSE),0)</f>
        <v>0</v>
      </c>
      <c r="D15" s="42" t="s">
        <v>189</v>
      </c>
      <c r="E15" s="42" t="s">
        <v>190</v>
      </c>
      <c r="F15" s="42" t="s">
        <v>191</v>
      </c>
      <c r="G15" s="42">
        <v>2800</v>
      </c>
      <c r="H15" s="42">
        <v>0</v>
      </c>
      <c r="I15" s="42">
        <v>1258</v>
      </c>
      <c r="J15" s="42">
        <v>125</v>
      </c>
      <c r="K15" s="42">
        <v>0</v>
      </c>
      <c r="L15" s="42">
        <v>0</v>
      </c>
      <c r="M15" s="42">
        <v>0</v>
      </c>
      <c r="N15" s="42">
        <v>0</v>
      </c>
      <c r="O15" s="42">
        <v>0</v>
      </c>
    </row>
    <row r="16" spans="1:15" s="43" customFormat="1" x14ac:dyDescent="0.2">
      <c r="A16" s="39" t="str">
        <f t="shared" si="0"/>
        <v>EclipseTheRest</v>
      </c>
      <c r="B16" s="40">
        <f t="shared" si="1"/>
        <v>14</v>
      </c>
      <c r="C16" s="41">
        <f>IFERROR(VLOOKUP(Table4161820[[#This Row],[fixedposition]],BattlePosition,2,FALSE),0)</f>
        <v>0</v>
      </c>
      <c r="D16" s="42" t="s">
        <v>192</v>
      </c>
      <c r="E16" s="42" t="s">
        <v>131</v>
      </c>
      <c r="F16" s="42" t="s">
        <v>193</v>
      </c>
      <c r="G16" s="42">
        <v>2550</v>
      </c>
      <c r="H16" s="42">
        <v>160</v>
      </c>
      <c r="I16" s="42">
        <v>680</v>
      </c>
      <c r="J16" s="42">
        <v>27</v>
      </c>
      <c r="K16" s="42">
        <v>374</v>
      </c>
      <c r="L16" s="42">
        <v>0</v>
      </c>
      <c r="M16" s="42">
        <v>1</v>
      </c>
      <c r="N16" s="42">
        <v>0</v>
      </c>
      <c r="O16" s="42">
        <v>0</v>
      </c>
    </row>
    <row r="17" spans="1:15" s="43" customFormat="1" x14ac:dyDescent="0.2">
      <c r="A17" s="39" t="str">
        <f t="shared" si="0"/>
        <v>MyFirstRobot</v>
      </c>
      <c r="B17" s="40">
        <f t="shared" si="1"/>
        <v>15</v>
      </c>
      <c r="C17" s="41">
        <f>IFERROR(VLOOKUP(Table4161820[[#This Row],[fixedposition]],BattlePosition,2,FALSE),0)</f>
        <v>0</v>
      </c>
      <c r="D17" s="42" t="s">
        <v>194</v>
      </c>
      <c r="E17" s="42" t="s">
        <v>195</v>
      </c>
      <c r="F17" s="42" t="s">
        <v>196</v>
      </c>
      <c r="G17" s="42">
        <v>3150</v>
      </c>
      <c r="H17" s="42">
        <v>0</v>
      </c>
      <c r="I17" s="42">
        <v>434</v>
      </c>
      <c r="J17" s="42">
        <v>1</v>
      </c>
      <c r="K17" s="42">
        <v>22</v>
      </c>
      <c r="L17" s="42">
        <v>0</v>
      </c>
      <c r="M17" s="42">
        <v>0</v>
      </c>
      <c r="N17" s="42">
        <v>0</v>
      </c>
      <c r="O17" s="42">
        <v>1</v>
      </c>
    </row>
    <row r="18" spans="1:15" s="43" customFormat="1" x14ac:dyDescent="0.2">
      <c r="A18" s="44" t="str">
        <f t="shared" ref="A18:A19" si="2">SUBSTITUTE(TRIM(RIGHT(SUBSTITUTE(E18,".",REPT(" ",LEN(E18))),LEN(E18))),"*","")</f>
        <v>HatefulEight</v>
      </c>
      <c r="B18" s="45">
        <f t="shared" ref="B18:B19" si="3">INT(SUBSTITUTE(SUBSTITUTE(SUBSTITUTE(SUBSTITUTE(D18,"st",""),"nd",""),"rd",""),"th",""))</f>
        <v>16</v>
      </c>
      <c r="C18" s="46">
        <f>IFERROR(VLOOKUP(Table4161820[[#This Row],[fixedposition]],BattlePosition,2,FALSE),0)</f>
        <v>0</v>
      </c>
      <c r="D18" s="42" t="s">
        <v>197</v>
      </c>
      <c r="E18" s="42" t="s">
        <v>123</v>
      </c>
      <c r="F18" s="42" t="s">
        <v>198</v>
      </c>
      <c r="G18" s="42">
        <v>3050</v>
      </c>
      <c r="H18" s="42">
        <v>0</v>
      </c>
      <c r="I18" s="42">
        <v>293</v>
      </c>
      <c r="J18" s="42">
        <v>12</v>
      </c>
      <c r="K18" s="42">
        <v>13</v>
      </c>
      <c r="L18" s="42">
        <v>0</v>
      </c>
      <c r="M18" s="42">
        <v>0</v>
      </c>
      <c r="N18" s="42">
        <v>0</v>
      </c>
      <c r="O18" s="42">
        <v>0</v>
      </c>
    </row>
    <row r="19" spans="1:15" s="43" customFormat="1" x14ac:dyDescent="0.2">
      <c r="A19" s="44" t="str">
        <f t="shared" si="2"/>
        <v>PaintingRobot</v>
      </c>
      <c r="B19" s="45">
        <f t="shared" si="3"/>
        <v>17</v>
      </c>
      <c r="C19" s="46">
        <f>IFERROR(VLOOKUP(Table4161820[[#This Row],[fixedposition]],BattlePosition,2,FALSE),0)</f>
        <v>0</v>
      </c>
      <c r="D19" s="42" t="s">
        <v>199</v>
      </c>
      <c r="E19" s="42" t="s">
        <v>200</v>
      </c>
      <c r="F19" s="42" t="s">
        <v>201</v>
      </c>
      <c r="G19" s="42">
        <v>2450</v>
      </c>
      <c r="H19" s="42">
        <v>0</v>
      </c>
      <c r="I19" s="42">
        <v>392</v>
      </c>
      <c r="J19" s="42">
        <v>2</v>
      </c>
      <c r="K19" s="42">
        <v>20</v>
      </c>
      <c r="L19" s="42">
        <v>0</v>
      </c>
      <c r="M19" s="42">
        <v>0</v>
      </c>
      <c r="N19" s="42">
        <v>0</v>
      </c>
      <c r="O19" s="42">
        <v>0</v>
      </c>
    </row>
  </sheetData>
  <mergeCells count="1">
    <mergeCell ref="D1:O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2"/>
  <sheetViews>
    <sheetView topLeftCell="J1" zoomScale="115" zoomScaleNormal="115" workbookViewId="0">
      <selection activeCell="M4" sqref="M4"/>
    </sheetView>
  </sheetViews>
  <sheetFormatPr defaultColWidth="9.140625" defaultRowHeight="10.5" x14ac:dyDescent="0.15"/>
  <cols>
    <col min="1" max="1" width="10.7109375" style="6" customWidth="1"/>
    <col min="2" max="3" width="38.5703125" style="6" customWidth="1"/>
    <col min="4" max="4" width="9.140625" style="6"/>
    <col min="5" max="5" width="9.28515625" style="6" bestFit="1" customWidth="1"/>
    <col min="6" max="6" width="11.42578125" style="6" customWidth="1"/>
    <col min="7" max="7" width="9.140625" style="7"/>
    <col min="8" max="8" width="14.85546875" style="6" customWidth="1"/>
    <col min="9" max="9" width="12.7109375" style="6" bestFit="1" customWidth="1"/>
    <col min="10" max="10" width="9.140625" style="7"/>
    <col min="11" max="11" width="5.140625" style="7" customWidth="1"/>
    <col min="12" max="12" width="28.85546875" style="6" bestFit="1" customWidth="1"/>
    <col min="13" max="13" width="28.140625" style="7" bestFit="1" customWidth="1"/>
    <col min="14" max="16384" width="9.140625" style="7"/>
  </cols>
  <sheetData>
    <row r="1" spans="1:13" s="5" customFormat="1" x14ac:dyDescent="0.15">
      <c r="A1" s="4" t="s">
        <v>1</v>
      </c>
      <c r="B1" s="4" t="s">
        <v>2</v>
      </c>
      <c r="C1" s="4" t="s">
        <v>65</v>
      </c>
      <c r="D1" s="4" t="s">
        <v>3</v>
      </c>
      <c r="E1" s="4" t="s">
        <v>22</v>
      </c>
      <c r="F1" s="23" t="s">
        <v>40</v>
      </c>
      <c r="G1" s="23" t="s">
        <v>63</v>
      </c>
      <c r="I1" s="4" t="s">
        <v>103</v>
      </c>
      <c r="J1" s="4" t="s">
        <v>3</v>
      </c>
      <c r="L1" s="5" t="s">
        <v>37</v>
      </c>
      <c r="M1" s="4" t="s">
        <v>36</v>
      </c>
    </row>
    <row r="2" spans="1:13" x14ac:dyDescent="0.15">
      <c r="A2" s="26" t="s">
        <v>4</v>
      </c>
      <c r="B2" s="24" t="s">
        <v>49</v>
      </c>
      <c r="C2" s="24"/>
      <c r="D2" s="26">
        <v>1</v>
      </c>
      <c r="E2" s="26" t="s">
        <v>23</v>
      </c>
      <c r="F2" s="26" t="s">
        <v>17</v>
      </c>
      <c r="G2" s="27" t="s">
        <v>52</v>
      </c>
      <c r="H2" s="7"/>
      <c r="I2" s="6">
        <v>1</v>
      </c>
      <c r="J2" s="6">
        <v>30</v>
      </c>
      <c r="L2" s="7" t="s">
        <v>38</v>
      </c>
      <c r="M2" s="21">
        <v>1.0416666666666666E-2</v>
      </c>
    </row>
    <row r="3" spans="1:13" ht="21" x14ac:dyDescent="0.15">
      <c r="A3" s="26" t="s">
        <v>5</v>
      </c>
      <c r="B3" s="25" t="s">
        <v>68</v>
      </c>
      <c r="C3" s="24" t="s">
        <v>43</v>
      </c>
      <c r="D3" s="26">
        <v>7</v>
      </c>
      <c r="E3" s="26" t="s">
        <v>23</v>
      </c>
      <c r="F3" s="26" t="s">
        <v>17</v>
      </c>
      <c r="G3" s="27" t="s">
        <v>52</v>
      </c>
      <c r="H3" s="7"/>
      <c r="I3" s="6">
        <v>2</v>
      </c>
      <c r="J3" s="6">
        <v>20</v>
      </c>
      <c r="L3" s="7" t="s">
        <v>39</v>
      </c>
      <c r="M3" s="21">
        <v>2.0833333333333332E-2</v>
      </c>
    </row>
    <row r="4" spans="1:13" x14ac:dyDescent="0.15">
      <c r="A4" s="26" t="s">
        <v>7</v>
      </c>
      <c r="B4" s="24" t="s">
        <v>46</v>
      </c>
      <c r="C4" s="24"/>
      <c r="D4" s="26">
        <v>1</v>
      </c>
      <c r="E4" s="26"/>
      <c r="F4" s="26" t="s">
        <v>17</v>
      </c>
      <c r="G4" s="27" t="s">
        <v>53</v>
      </c>
      <c r="H4" s="7"/>
      <c r="I4" s="6">
        <v>3</v>
      </c>
      <c r="J4" s="6">
        <v>15</v>
      </c>
      <c r="L4" s="7" t="s">
        <v>212</v>
      </c>
      <c r="M4" s="21">
        <v>0</v>
      </c>
    </row>
    <row r="5" spans="1:13" x14ac:dyDescent="0.15">
      <c r="A5" s="26" t="s">
        <v>6</v>
      </c>
      <c r="B5" s="24" t="s">
        <v>42</v>
      </c>
      <c r="C5" s="24"/>
      <c r="D5" s="26">
        <v>3</v>
      </c>
      <c r="E5" s="26" t="s">
        <v>23</v>
      </c>
      <c r="F5" s="26" t="s">
        <v>17</v>
      </c>
      <c r="G5" s="27" t="s">
        <v>53</v>
      </c>
      <c r="H5" s="7"/>
      <c r="I5" s="6">
        <v>4</v>
      </c>
      <c r="J5" s="6">
        <v>10</v>
      </c>
      <c r="L5" s="7" t="s">
        <v>213</v>
      </c>
      <c r="M5" s="21">
        <v>0.99998842592592585</v>
      </c>
    </row>
    <row r="6" spans="1:13" ht="21" x14ac:dyDescent="0.15">
      <c r="A6" s="26" t="s">
        <v>8</v>
      </c>
      <c r="B6" s="24" t="s">
        <v>76</v>
      </c>
      <c r="C6" s="24" t="s">
        <v>41</v>
      </c>
      <c r="D6" s="26">
        <v>10</v>
      </c>
      <c r="E6" s="26" t="s">
        <v>23</v>
      </c>
      <c r="F6" s="26" t="s">
        <v>17</v>
      </c>
      <c r="G6" s="27" t="s">
        <v>53</v>
      </c>
      <c r="H6" s="7"/>
      <c r="I6" s="6">
        <v>5</v>
      </c>
      <c r="J6" s="6">
        <v>7</v>
      </c>
      <c r="L6" s="7"/>
      <c r="M6" s="6"/>
    </row>
    <row r="7" spans="1:13" ht="31.5" x14ac:dyDescent="0.15">
      <c r="A7" s="26" t="s">
        <v>9</v>
      </c>
      <c r="B7" s="24" t="s">
        <v>78</v>
      </c>
      <c r="C7" s="24" t="s">
        <v>77</v>
      </c>
      <c r="D7" s="26">
        <v>10</v>
      </c>
      <c r="E7" s="26"/>
      <c r="F7" s="26" t="s">
        <v>17</v>
      </c>
      <c r="G7" s="27" t="s">
        <v>52</v>
      </c>
      <c r="H7" s="7"/>
      <c r="I7" s="6">
        <v>6</v>
      </c>
      <c r="J7" s="6">
        <v>5</v>
      </c>
      <c r="L7" s="7"/>
      <c r="M7" s="6"/>
    </row>
    <row r="8" spans="1:13" ht="21" x14ac:dyDescent="0.15">
      <c r="A8" s="26" t="s">
        <v>10</v>
      </c>
      <c r="B8" s="24" t="s">
        <v>75</v>
      </c>
      <c r="C8" s="24" t="s">
        <v>66</v>
      </c>
      <c r="D8" s="26">
        <v>7</v>
      </c>
      <c r="E8" s="26"/>
      <c r="F8" s="26" t="s">
        <v>17</v>
      </c>
      <c r="G8" s="27" t="s">
        <v>52</v>
      </c>
      <c r="H8" s="7"/>
      <c r="I8" s="6">
        <v>7</v>
      </c>
      <c r="J8" s="6">
        <v>4</v>
      </c>
      <c r="L8" s="7"/>
      <c r="M8" s="6"/>
    </row>
    <row r="9" spans="1:13" x14ac:dyDescent="0.15">
      <c r="A9" s="26" t="s">
        <v>11</v>
      </c>
      <c r="B9" s="24" t="s">
        <v>73</v>
      </c>
      <c r="C9" s="24" t="s">
        <v>74</v>
      </c>
      <c r="D9" s="26">
        <v>3</v>
      </c>
      <c r="E9" s="26" t="s">
        <v>23</v>
      </c>
      <c r="F9" s="26" t="s">
        <v>17</v>
      </c>
      <c r="G9" s="27" t="s">
        <v>52</v>
      </c>
      <c r="H9" s="7"/>
      <c r="I9" s="6">
        <v>8</v>
      </c>
      <c r="J9" s="6">
        <v>3</v>
      </c>
      <c r="L9" s="7"/>
      <c r="M9" s="6"/>
    </row>
    <row r="10" spans="1:13" ht="21" x14ac:dyDescent="0.15">
      <c r="A10" s="26" t="s">
        <v>12</v>
      </c>
      <c r="B10" s="24" t="s">
        <v>44</v>
      </c>
      <c r="C10" s="24" t="s">
        <v>67</v>
      </c>
      <c r="D10" s="26">
        <v>3</v>
      </c>
      <c r="E10" s="26" t="s">
        <v>23</v>
      </c>
      <c r="F10" s="26" t="s">
        <v>17</v>
      </c>
      <c r="G10" s="27" t="s">
        <v>52</v>
      </c>
      <c r="H10" s="7"/>
      <c r="I10" s="6">
        <v>9</v>
      </c>
      <c r="J10" s="6">
        <v>2</v>
      </c>
      <c r="L10" s="7"/>
      <c r="M10" s="6"/>
    </row>
    <row r="11" spans="1:13" ht="42" x14ac:dyDescent="0.15">
      <c r="A11" s="26" t="s">
        <v>13</v>
      </c>
      <c r="B11" s="24" t="s">
        <v>47</v>
      </c>
      <c r="C11" s="24" t="s">
        <v>70</v>
      </c>
      <c r="D11" s="26">
        <v>10</v>
      </c>
      <c r="E11" s="26" t="s">
        <v>23</v>
      </c>
      <c r="F11" s="26" t="s">
        <v>17</v>
      </c>
      <c r="G11" s="27" t="s">
        <v>51</v>
      </c>
      <c r="H11" s="7"/>
      <c r="I11" s="6">
        <v>10</v>
      </c>
      <c r="J11" s="6">
        <v>1</v>
      </c>
      <c r="L11" s="7"/>
      <c r="M11" s="6"/>
    </row>
    <row r="12" spans="1:13" ht="21" x14ac:dyDescent="0.15">
      <c r="A12" s="26" t="s">
        <v>14</v>
      </c>
      <c r="B12" s="24" t="s">
        <v>69</v>
      </c>
      <c r="C12" s="24" t="s">
        <v>79</v>
      </c>
      <c r="D12" s="26">
        <v>20</v>
      </c>
      <c r="E12" s="26" t="s">
        <v>23</v>
      </c>
      <c r="F12" s="26" t="s">
        <v>17</v>
      </c>
      <c r="G12" s="27" t="s">
        <v>51</v>
      </c>
      <c r="H12" s="7"/>
      <c r="J12" s="6"/>
      <c r="L12" s="7"/>
      <c r="M12" s="6"/>
    </row>
    <row r="13" spans="1:13" x14ac:dyDescent="0.15">
      <c r="A13" s="26" t="s">
        <v>15</v>
      </c>
      <c r="B13" s="24" t="s">
        <v>80</v>
      </c>
      <c r="C13" s="24"/>
      <c r="D13" s="26">
        <v>5</v>
      </c>
      <c r="E13" s="26" t="s">
        <v>23</v>
      </c>
      <c r="F13" s="26" t="s">
        <v>17</v>
      </c>
      <c r="G13" s="27" t="s">
        <v>51</v>
      </c>
      <c r="H13" s="7"/>
      <c r="J13" s="6"/>
      <c r="L13" s="7"/>
      <c r="M13" s="6"/>
    </row>
    <row r="14" spans="1:13" x14ac:dyDescent="0.15">
      <c r="A14" s="26" t="s">
        <v>16</v>
      </c>
      <c r="B14" s="24" t="s">
        <v>50</v>
      </c>
      <c r="C14" s="24"/>
      <c r="D14" s="26">
        <v>-10</v>
      </c>
      <c r="E14" s="26" t="s">
        <v>23</v>
      </c>
      <c r="F14" s="26" t="s">
        <v>23</v>
      </c>
      <c r="G14" s="27" t="s">
        <v>51</v>
      </c>
      <c r="H14" s="7"/>
      <c r="J14" s="6"/>
      <c r="L14" s="7"/>
      <c r="M14" s="6"/>
    </row>
    <row r="15" spans="1:13" ht="21" x14ac:dyDescent="0.15">
      <c r="A15" s="26" t="s">
        <v>17</v>
      </c>
      <c r="B15" s="24" t="s">
        <v>71</v>
      </c>
      <c r="C15" s="24" t="s">
        <v>56</v>
      </c>
      <c r="D15" s="27">
        <v>-3</v>
      </c>
      <c r="E15" s="28"/>
      <c r="F15" s="26" t="s">
        <v>23</v>
      </c>
      <c r="G15" s="27" t="s">
        <v>53</v>
      </c>
      <c r="H15" s="7"/>
      <c r="J15" s="6"/>
      <c r="L15" s="7"/>
      <c r="M15" s="6"/>
    </row>
    <row r="16" spans="1:13" x14ac:dyDescent="0.15">
      <c r="A16" s="26" t="s">
        <v>26</v>
      </c>
      <c r="B16" s="24" t="s">
        <v>48</v>
      </c>
      <c r="C16" s="24"/>
      <c r="D16" s="26">
        <v>10</v>
      </c>
      <c r="E16" s="26"/>
      <c r="F16" s="26" t="s">
        <v>17</v>
      </c>
      <c r="G16" s="27" t="s">
        <v>53</v>
      </c>
      <c r="H16" s="7"/>
      <c r="J16" s="6"/>
      <c r="L16" s="7"/>
      <c r="M16" s="6"/>
    </row>
    <row r="17" spans="1:13" ht="31.5" x14ac:dyDescent="0.15">
      <c r="A17" s="26" t="s">
        <v>30</v>
      </c>
      <c r="B17" s="24" t="s">
        <v>45</v>
      </c>
      <c r="C17" s="24" t="s">
        <v>81</v>
      </c>
      <c r="D17" s="26">
        <v>1</v>
      </c>
      <c r="E17" s="26"/>
      <c r="F17" s="26" t="s">
        <v>17</v>
      </c>
      <c r="G17" s="27" t="s">
        <v>53</v>
      </c>
      <c r="H17" s="7"/>
      <c r="J17" s="6"/>
    </row>
    <row r="18" spans="1:13" ht="21" x14ac:dyDescent="0.15">
      <c r="A18" s="26" t="s">
        <v>57</v>
      </c>
      <c r="B18" s="24" t="s">
        <v>29</v>
      </c>
      <c r="C18" s="24" t="s">
        <v>72</v>
      </c>
      <c r="D18" s="26">
        <v>5</v>
      </c>
      <c r="E18" s="26"/>
      <c r="F18" s="26" t="s">
        <v>17</v>
      </c>
      <c r="G18" s="27" t="s">
        <v>52</v>
      </c>
    </row>
    <row r="19" spans="1:13" ht="21" x14ac:dyDescent="0.15">
      <c r="A19" s="26" t="s">
        <v>58</v>
      </c>
      <c r="B19" s="24" t="s">
        <v>27</v>
      </c>
      <c r="C19" s="24" t="s">
        <v>83</v>
      </c>
      <c r="D19" s="26">
        <v>8</v>
      </c>
      <c r="E19" s="26"/>
      <c r="F19" s="26" t="s">
        <v>17</v>
      </c>
      <c r="G19" s="27" t="s">
        <v>52</v>
      </c>
    </row>
    <row r="20" spans="1:13" ht="21" x14ac:dyDescent="0.15">
      <c r="A20" s="26" t="s">
        <v>59</v>
      </c>
      <c r="B20" s="24" t="s">
        <v>54</v>
      </c>
      <c r="C20" s="24" t="s">
        <v>82</v>
      </c>
      <c r="D20" s="26">
        <v>8</v>
      </c>
      <c r="E20" s="26" t="s">
        <v>23</v>
      </c>
      <c r="F20" s="26" t="s">
        <v>23</v>
      </c>
      <c r="G20" s="27" t="s">
        <v>52</v>
      </c>
      <c r="L20" s="7"/>
      <c r="M20" s="6"/>
    </row>
    <row r="21" spans="1:13" x14ac:dyDescent="0.15">
      <c r="A21" s="26" t="s">
        <v>60</v>
      </c>
      <c r="B21" s="24" t="s">
        <v>28</v>
      </c>
      <c r="C21" s="24"/>
      <c r="D21" s="26">
        <v>2</v>
      </c>
      <c r="E21" s="26"/>
      <c r="F21" s="26" t="s">
        <v>17</v>
      </c>
      <c r="G21" s="27" t="s">
        <v>53</v>
      </c>
      <c r="H21" s="7"/>
      <c r="J21" s="6"/>
      <c r="L21" s="7"/>
      <c r="M21" s="6"/>
    </row>
    <row r="22" spans="1:13" x14ac:dyDescent="0.15">
      <c r="A22" s="26" t="s">
        <v>61</v>
      </c>
      <c r="B22" s="24" t="s">
        <v>84</v>
      </c>
      <c r="C22" s="24" t="s">
        <v>55</v>
      </c>
      <c r="D22" s="26">
        <v>7</v>
      </c>
      <c r="E22" s="26"/>
      <c r="F22" s="26" t="s">
        <v>17</v>
      </c>
      <c r="G22" s="27" t="s">
        <v>52</v>
      </c>
      <c r="H22" s="7"/>
      <c r="J22" s="6"/>
      <c r="L22" s="7"/>
      <c r="M22" s="6"/>
    </row>
    <row r="23" spans="1:13" ht="52.5" x14ac:dyDescent="0.15">
      <c r="A23" s="26" t="s">
        <v>62</v>
      </c>
      <c r="B23" s="24" t="s">
        <v>87</v>
      </c>
      <c r="C23" s="24" t="s">
        <v>88</v>
      </c>
      <c r="D23" s="26" t="s">
        <v>86</v>
      </c>
      <c r="E23" s="26" t="s">
        <v>23</v>
      </c>
      <c r="F23" s="26" t="s">
        <v>17</v>
      </c>
      <c r="G23" s="27" t="s">
        <v>86</v>
      </c>
      <c r="H23" s="7"/>
      <c r="J23" s="6"/>
      <c r="L23" s="7"/>
      <c r="M23" s="6"/>
    </row>
    <row r="24" spans="1:13" x14ac:dyDescent="0.15">
      <c r="H24" s="7"/>
      <c r="J24" s="6"/>
      <c r="L24" s="7"/>
      <c r="M24" s="6"/>
    </row>
    <row r="25" spans="1:13" x14ac:dyDescent="0.15">
      <c r="H25" s="7"/>
      <c r="J25" s="6"/>
      <c r="L25" s="7"/>
      <c r="M25" s="6"/>
    </row>
    <row r="26" spans="1:13" x14ac:dyDescent="0.15">
      <c r="H26" s="7"/>
      <c r="J26" s="6"/>
    </row>
    <row r="31" spans="1:13" ht="12.75" x14ac:dyDescent="0.2">
      <c r="A31" t="s">
        <v>25</v>
      </c>
    </row>
    <row r="32" spans="1:13" ht="12.75" x14ac:dyDescent="0.2">
      <c r="A32" t="s">
        <v>64</v>
      </c>
    </row>
  </sheetData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Scoreboard</vt:lpstr>
      <vt:lpstr>Battle 1</vt:lpstr>
      <vt:lpstr>Battle 2</vt:lpstr>
      <vt:lpstr>Battle 3</vt:lpstr>
      <vt:lpstr>Battle 4</vt:lpstr>
      <vt:lpstr>Parameters</vt:lpstr>
      <vt:lpstr>battle1</vt:lpstr>
      <vt:lpstr>battle2</vt:lpstr>
      <vt:lpstr>battle3</vt:lpstr>
      <vt:lpstr>battle4</vt:lpstr>
      <vt:lpstr>BattlePosition</vt:lpstr>
      <vt:lpstr>Prizes</vt:lpstr>
      <vt:lpstr>scoreBoard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Graham T Cree</dc:creator>
  <cp:lastModifiedBy>Graham</cp:lastModifiedBy>
  <dcterms:created xsi:type="dcterms:W3CDTF">2016-03-31T15:38:18Z</dcterms:created>
  <dcterms:modified xsi:type="dcterms:W3CDTF">2016-04-09T20:02:55Z</dcterms:modified>
</cp:coreProperties>
</file>